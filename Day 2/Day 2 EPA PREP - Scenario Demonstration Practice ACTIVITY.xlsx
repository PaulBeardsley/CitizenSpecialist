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Override PartName="/xl/comments8.xml" ContentType="application/vnd.openxmlformats-officedocument.spreadsheetml.comments+xml"/>
  <Override PartName="/xl/drawings/drawing10.xml" ContentType="application/vnd.openxmlformats-officedocument.drawing+xml"/>
  <Override PartName="/xl/comments9.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autoCompressPictures="0" defaultThemeVersion="166925"/>
  <mc:AlternateContent xmlns:mc="http://schemas.openxmlformats.org/markup-compatibility/2006">
    <mc:Choice Requires="x15">
      <x15ac:absPath xmlns:x15ac="http://schemas.microsoft.com/office/spreadsheetml/2010/11/ac" url="https://qalearning.sharepoint.com/sites/GeneralContentDev-FY22/Shared Documents/APEDES3SUP - Data Essentials L3 SU (Mar 2025)/Content Team/M6 - From Data Citizen to Data Specialist/Courseware (Live event)/LEARNER DOCS/Day 2/"/>
    </mc:Choice>
  </mc:AlternateContent>
  <xr:revisionPtr revIDLastSave="18" documentId="13_ncr:1_{DB9B63F6-F44E-4AA4-8064-87483D399F79}" xr6:coauthVersionLast="47" xr6:coauthVersionMax="47" xr10:uidLastSave="{F04913DE-61D2-4F0B-8A82-40977B517900}"/>
  <bookViews>
    <workbookView xWindow="11505" yWindow="885" windowWidth="43200" windowHeight="11295" tabRatio="832" activeTab="4" xr2:uid="{B321D78D-E745-4002-BD89-9A43D7B377D8}"/>
  </bookViews>
  <sheets>
    <sheet name="Intro" sheetId="1" r:id="rId1"/>
    <sheet name="Part 1" sheetId="17" r:id="rId2"/>
    <sheet name="Part 2" sheetId="18" r:id="rId3"/>
    <sheet name="Part 3" sheetId="19" r:id="rId4"/>
    <sheet name="Part 4" sheetId="20" r:id="rId5"/>
    <sheet name="Part 5" sheetId="21" r:id="rId6"/>
    <sheet name="Part 6" sheetId="22" r:id="rId7"/>
    <sheet name="Part 7" sheetId="23" r:id="rId8"/>
    <sheet name="Part 8" sheetId="24" r:id="rId9"/>
    <sheet name="Part 9" sheetId="25" r:id="rId10"/>
    <sheet name="Challenge 1" sheetId="12" r:id="rId11"/>
    <sheet name="Help" sheetId="3" r:id="rId12"/>
    <sheet name="TODO" sheetId="4" state="veryHidden" r:id="rId13"/>
  </sheets>
  <definedNames>
    <definedName name="_xlnm._FilterDatabase" localSheetId="10" hidden="1">'Challenge 1'!$O$10:$V$34</definedName>
    <definedName name="_xlnm._FilterDatabase" localSheetId="0" hidden="1">#REF!</definedName>
  </definedName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23" l="1"/>
  <c r="C48" i="24"/>
  <c r="C32" i="25"/>
  <c r="C13" i="25"/>
  <c r="C35" i="24"/>
  <c r="C24" i="24"/>
  <c r="C13" i="24"/>
  <c r="C61" i="23"/>
  <c r="C106" i="23"/>
  <c r="C97" i="23"/>
  <c r="C70" i="23"/>
  <c r="C40" i="23"/>
  <c r="C15" i="23"/>
  <c r="C64" i="22"/>
  <c r="C58" i="22"/>
  <c r="C52" i="22"/>
  <c r="C40" i="22"/>
  <c r="C34" i="22"/>
  <c r="C24" i="22"/>
  <c r="C13" i="22"/>
  <c r="C60" i="21"/>
  <c r="C71" i="21"/>
  <c r="C51" i="21"/>
  <c r="C34" i="21"/>
  <c r="C15" i="21"/>
  <c r="B106" i="20"/>
  <c r="C131" i="20"/>
  <c r="C44" i="20"/>
  <c r="C26" i="20"/>
  <c r="C13" i="20"/>
  <c r="C28" i="19"/>
  <c r="E106" i="20"/>
  <c r="C87" i="19" l="1"/>
  <c r="C71" i="19"/>
  <c r="C51" i="19"/>
  <c r="C18" i="19"/>
  <c r="C28" i="18"/>
  <c r="C117" i="17"/>
  <c r="C104" i="17"/>
  <c r="C126" i="17"/>
  <c r="C42" i="18"/>
  <c r="C13" i="18"/>
  <c r="C67" i="17"/>
  <c r="C42" i="17"/>
  <c r="C21" i="17"/>
  <c r="C13" i="17"/>
  <c r="C13" i="1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Andrew Alvin</author>
  </authors>
  <commentList>
    <comment ref="B25" authorId="0" shapeId="0" xr:uid="{373D83AC-9E30-4A74-9813-0E835BE8DB40}">
      <text>
        <r>
          <rPr>
            <sz val="9"/>
            <color indexed="81"/>
            <rFont val="Tahoma"/>
            <family val="2"/>
          </rPr>
          <t>If you are using Power Query, the Queries and Connections panel will tell you the number of loaded rows.</t>
        </r>
      </text>
    </comment>
    <comment ref="B27" authorId="0" shapeId="0" xr:uid="{A630D28D-B0EF-4461-8E78-918E4A64334B}">
      <text>
        <r>
          <rPr>
            <sz val="9"/>
            <color indexed="81"/>
            <rFont val="Tahoma"/>
            <family val="2"/>
          </rPr>
          <t xml:space="preserve">Alternatively, if you are in the Power Query Editor, you can count rows by going to </t>
        </r>
        <r>
          <rPr>
            <b/>
            <sz val="9"/>
            <color indexed="81"/>
            <rFont val="Tahoma"/>
            <family val="2"/>
          </rPr>
          <t>Ribbon</t>
        </r>
        <r>
          <rPr>
            <sz val="9"/>
            <color indexed="81"/>
            <rFont val="Tahoma"/>
            <family val="2"/>
          </rPr>
          <t xml:space="preserve"> &gt; </t>
        </r>
        <r>
          <rPr>
            <b/>
            <sz val="9"/>
            <color indexed="81"/>
            <rFont val="Tahoma"/>
            <family val="2"/>
          </rPr>
          <t>Transform</t>
        </r>
        <r>
          <rPr>
            <sz val="9"/>
            <color indexed="81"/>
            <rFont val="Tahoma"/>
            <family val="2"/>
          </rPr>
          <t xml:space="preserve"> &gt; </t>
        </r>
        <r>
          <rPr>
            <b/>
            <sz val="9"/>
            <color indexed="81"/>
            <rFont val="Tahoma"/>
            <family val="2"/>
          </rPr>
          <t>Number Column</t>
        </r>
        <r>
          <rPr>
            <sz val="9"/>
            <color indexed="81"/>
            <rFont val="Tahoma"/>
            <family val="2"/>
          </rPr>
          <t xml:space="preserve"> group &gt; </t>
        </r>
        <r>
          <rPr>
            <b/>
            <sz val="9"/>
            <color indexed="81"/>
            <rFont val="Tahoma"/>
            <family val="2"/>
          </rPr>
          <t>Statistics</t>
        </r>
        <r>
          <rPr>
            <sz val="9"/>
            <color indexed="81"/>
            <rFont val="Tahoma"/>
            <family val="2"/>
          </rPr>
          <t xml:space="preserve"> &gt; </t>
        </r>
        <r>
          <rPr>
            <b/>
            <sz val="9"/>
            <color indexed="81"/>
            <rFont val="Tahoma"/>
            <family val="2"/>
          </rPr>
          <t>Count Values</t>
        </r>
        <r>
          <rPr>
            <sz val="9"/>
            <color indexed="81"/>
            <rFont val="Tahoma"/>
            <family val="2"/>
          </rPr>
          <t>. Delete this step afterwards.</t>
        </r>
      </text>
    </comment>
    <comment ref="B29" authorId="0" shapeId="0" xr:uid="{B8756612-AC9B-40ED-9986-AA7D068EB65D}">
      <text>
        <r>
          <rPr>
            <sz val="9"/>
            <color indexed="81"/>
            <rFont val="Tahoma"/>
            <family val="2"/>
          </rPr>
          <t xml:space="preserve">If </t>
        </r>
        <r>
          <rPr>
            <b/>
            <sz val="9"/>
            <color indexed="81"/>
            <rFont val="Tahoma"/>
            <family val="2"/>
          </rPr>
          <t>SalesEW</t>
        </r>
        <r>
          <rPr>
            <sz val="9"/>
            <color indexed="81"/>
            <rFont val="Tahoma"/>
            <family val="2"/>
          </rPr>
          <t xml:space="preserve"> and </t>
        </r>
        <r>
          <rPr>
            <b/>
            <sz val="9"/>
            <color indexed="81"/>
            <rFont val="Tahoma"/>
            <family val="2"/>
          </rPr>
          <t>SalesCS</t>
        </r>
        <r>
          <rPr>
            <sz val="9"/>
            <color indexed="81"/>
            <rFont val="Tahoma"/>
            <family val="2"/>
          </rPr>
          <t xml:space="preserve"> have been loaded to Excel Tables, you can return the number of rows using the formula function ROWS(). E.g., =ROWS(</t>
        </r>
        <r>
          <rPr>
            <b/>
            <sz val="9"/>
            <color indexed="81"/>
            <rFont val="Tahoma"/>
            <family val="2"/>
          </rPr>
          <t>SalesEW</t>
        </r>
        <r>
          <rPr>
            <sz val="9"/>
            <color indexed="81"/>
            <rFont val="Tahoma"/>
            <family val="2"/>
          </rPr>
          <t>).</t>
        </r>
      </text>
    </comment>
    <comment ref="B50" authorId="0" shapeId="0" xr:uid="{696F3AD7-F9C7-4BF9-96C9-F3F7944D7F27}">
      <text>
        <r>
          <rPr>
            <sz val="9"/>
            <color indexed="81"/>
            <rFont val="Tahoma"/>
            <family val="2"/>
          </rPr>
          <t>Be extremely careful when removing blank rows. Only delete rows that are entirely blank.</t>
        </r>
      </text>
    </comment>
    <comment ref="B52" authorId="0" shapeId="0" xr:uid="{4476721C-CB40-4CD6-A069-352E6BD1943B}">
      <text>
        <r>
          <rPr>
            <sz val="9"/>
            <color indexed="81"/>
            <rFont val="Tahoma"/>
            <family val="2"/>
          </rPr>
          <t>Count the number of rows before and after removing the blanks.</t>
        </r>
      </text>
    </comment>
    <comment ref="B54" authorId="0" shapeId="0" xr:uid="{BCE86353-9404-41C2-A25A-2442B8F42553}">
      <text>
        <r>
          <rPr>
            <sz val="9"/>
            <color indexed="81"/>
            <rFont val="Tahoma"/>
            <family val="2"/>
          </rPr>
          <t xml:space="preserve">If you are using Power Query, you can remove blank rows by going to </t>
        </r>
        <r>
          <rPr>
            <b/>
            <sz val="9"/>
            <color indexed="81"/>
            <rFont val="Tahoma"/>
            <family val="2"/>
          </rPr>
          <t>Ribbon</t>
        </r>
        <r>
          <rPr>
            <sz val="9"/>
            <color indexed="81"/>
            <rFont val="Tahoma"/>
            <family val="2"/>
          </rPr>
          <t xml:space="preserve"> &gt; </t>
        </r>
        <r>
          <rPr>
            <b/>
            <sz val="9"/>
            <color indexed="81"/>
            <rFont val="Tahoma"/>
            <family val="2"/>
          </rPr>
          <t>Home</t>
        </r>
        <r>
          <rPr>
            <sz val="9"/>
            <color indexed="81"/>
            <rFont val="Tahoma"/>
            <family val="2"/>
          </rPr>
          <t xml:space="preserve"> &gt; </t>
        </r>
        <r>
          <rPr>
            <b/>
            <sz val="9"/>
            <color indexed="81"/>
            <rFont val="Tahoma"/>
            <family val="2"/>
          </rPr>
          <t>Reduce Rows</t>
        </r>
        <r>
          <rPr>
            <sz val="9"/>
            <color indexed="81"/>
            <rFont val="Tahoma"/>
            <family val="2"/>
          </rPr>
          <t xml:space="preserve"> group &gt; </t>
        </r>
        <r>
          <rPr>
            <b/>
            <sz val="9"/>
            <color indexed="81"/>
            <rFont val="Tahoma"/>
            <family val="2"/>
          </rPr>
          <t>Remove Blank Rows</t>
        </r>
        <r>
          <rPr>
            <sz val="9"/>
            <color indexed="81"/>
            <rFont val="Tahoma"/>
            <family val="2"/>
          </rPr>
          <t xml:space="preserve">.
</t>
        </r>
      </text>
    </comment>
    <comment ref="B73" authorId="0" shapeId="0" xr:uid="{456EF8EA-7A5F-474F-B42A-4E54A43BDD1D}">
      <text>
        <r>
          <rPr>
            <sz val="9"/>
            <color indexed="81"/>
            <rFont val="Tahoma"/>
            <family val="2"/>
          </rPr>
          <t xml:space="preserve">In an append operation, the order of columns can be different between </t>
        </r>
        <r>
          <rPr>
            <b/>
            <sz val="9"/>
            <color indexed="81"/>
            <rFont val="Tahoma"/>
            <family val="2"/>
          </rPr>
          <t>Table1</t>
        </r>
        <r>
          <rPr>
            <sz val="9"/>
            <color indexed="81"/>
            <rFont val="Tahoma"/>
            <family val="2"/>
          </rPr>
          <t xml:space="preserve"> and </t>
        </r>
        <r>
          <rPr>
            <b/>
            <sz val="9"/>
            <color indexed="81"/>
            <rFont val="Tahoma"/>
            <family val="2"/>
          </rPr>
          <t>Table2</t>
        </r>
        <r>
          <rPr>
            <sz val="9"/>
            <color indexed="81"/>
            <rFont val="Tahoma"/>
            <family val="2"/>
          </rPr>
          <t xml:space="preserve">. All that matters is that each column of </t>
        </r>
        <r>
          <rPr>
            <b/>
            <sz val="9"/>
            <color indexed="81"/>
            <rFont val="Tahoma"/>
            <family val="2"/>
          </rPr>
          <t>Table2</t>
        </r>
        <r>
          <rPr>
            <sz val="9"/>
            <color indexed="81"/>
            <rFont val="Tahoma"/>
            <family val="2"/>
          </rPr>
          <t xml:space="preserve"> is appended to the matching column of </t>
        </r>
        <r>
          <rPr>
            <b/>
            <sz val="9"/>
            <color indexed="81"/>
            <rFont val="Tahoma"/>
            <family val="2"/>
          </rPr>
          <t>Table1</t>
        </r>
        <r>
          <rPr>
            <sz val="9"/>
            <color indexed="81"/>
            <rFont val="Tahoma"/>
            <family val="2"/>
          </rPr>
          <t>.</t>
        </r>
      </text>
    </comment>
    <comment ref="B75" authorId="0" shapeId="0" xr:uid="{0049B2DC-0F6D-4F80-A429-F0926B21C720}">
      <text>
        <r>
          <rPr>
            <sz val="9"/>
            <color indexed="81"/>
            <rFont val="Tahoma"/>
            <family val="2"/>
          </rPr>
          <t xml:space="preserve">If you are using Power Query, you can append one Query (table) to another by selecting the "top" Query and then going to </t>
        </r>
        <r>
          <rPr>
            <b/>
            <sz val="9"/>
            <color indexed="81"/>
            <rFont val="Tahoma"/>
            <family val="2"/>
          </rPr>
          <t>Ribbon</t>
        </r>
        <r>
          <rPr>
            <sz val="9"/>
            <color indexed="81"/>
            <rFont val="Tahoma"/>
            <family val="2"/>
          </rPr>
          <t xml:space="preserve"> &gt; </t>
        </r>
        <r>
          <rPr>
            <b/>
            <sz val="9"/>
            <color indexed="81"/>
            <rFont val="Tahoma"/>
            <family val="2"/>
          </rPr>
          <t>Combine</t>
        </r>
        <r>
          <rPr>
            <sz val="9"/>
            <color indexed="81"/>
            <rFont val="Tahoma"/>
            <family val="2"/>
          </rPr>
          <t xml:space="preserve"> group &gt; </t>
        </r>
        <r>
          <rPr>
            <b/>
            <sz val="9"/>
            <color indexed="81"/>
            <rFont val="Tahoma"/>
            <family val="2"/>
          </rPr>
          <t>Append Queries</t>
        </r>
        <r>
          <rPr>
            <sz val="9"/>
            <color indexed="81"/>
            <rFont val="Tahoma"/>
            <family val="2"/>
          </rPr>
          <t xml:space="preserve">.
Select </t>
        </r>
        <r>
          <rPr>
            <b/>
            <sz val="9"/>
            <color indexed="81"/>
            <rFont val="Tahoma"/>
            <family val="2"/>
          </rPr>
          <t>Append Queries</t>
        </r>
        <r>
          <rPr>
            <sz val="9"/>
            <color indexed="81"/>
            <rFont val="Tahoma"/>
            <family val="2"/>
          </rPr>
          <t xml:space="preserve"> to modify the "top" Query in place.
Select </t>
        </r>
        <r>
          <rPr>
            <b/>
            <sz val="9"/>
            <color indexed="81"/>
            <rFont val="Tahoma"/>
            <family val="2"/>
          </rPr>
          <t>Append Queries as New</t>
        </r>
        <r>
          <rPr>
            <sz val="9"/>
            <color indexed="81"/>
            <rFont val="Tahoma"/>
            <family val="2"/>
          </rPr>
          <t xml:space="preserve"> to append the Queries as a new Query.
</t>
        </r>
      </text>
    </comment>
    <comment ref="B110" authorId="0" shapeId="0" xr:uid="{60060714-C9FD-4B7A-8B53-239347C96A2D}">
      <text>
        <r>
          <rPr>
            <sz val="9"/>
            <color indexed="81"/>
            <rFont val="Tahoma"/>
            <family val="2"/>
          </rPr>
          <t xml:space="preserve">If you are using Power Query, you can right-click this column in the </t>
        </r>
        <r>
          <rPr>
            <b/>
            <sz val="9"/>
            <color indexed="81"/>
            <rFont val="Tahoma"/>
            <family val="2"/>
          </rPr>
          <t>Sales</t>
        </r>
        <r>
          <rPr>
            <sz val="9"/>
            <color indexed="81"/>
            <rFont val="Tahoma"/>
            <family val="2"/>
          </rPr>
          <t xml:space="preserve"> table and select </t>
        </r>
        <r>
          <rPr>
            <b/>
            <sz val="9"/>
            <color indexed="81"/>
            <rFont val="Tahoma"/>
            <family val="2"/>
          </rPr>
          <t>Remove</t>
        </r>
        <r>
          <rPr>
            <sz val="9"/>
            <color indexed="81"/>
            <rFont val="Tahoma"/>
            <family val="2"/>
          </rPr>
          <t>.</t>
        </r>
      </text>
    </comment>
    <comment ref="B130" authorId="0" shapeId="0" xr:uid="{F1EA9D72-42F2-4967-A5E0-BE18B09A1D9D}">
      <text>
        <r>
          <rPr>
            <sz val="9"/>
            <color indexed="81"/>
            <rFont val="Tahoma"/>
            <family val="2"/>
          </rPr>
          <t xml:space="preserve">If you are using Excel, be careful not to permanently convert your XLSX workbook into a CSV file. This would result in the loss of all Excel functionality if you were to close and reopen the CSV.
One way to avoid this is to right-click the name of the worksheet that contains the </t>
        </r>
        <r>
          <rPr>
            <b/>
            <sz val="9"/>
            <color indexed="81"/>
            <rFont val="Tahoma"/>
            <family val="2"/>
          </rPr>
          <t>Sales</t>
        </r>
        <r>
          <rPr>
            <sz val="9"/>
            <color indexed="81"/>
            <rFont val="Tahoma"/>
            <family val="2"/>
          </rPr>
          <t xml:space="preserve"> table and go to </t>
        </r>
        <r>
          <rPr>
            <b/>
            <sz val="9"/>
            <color indexed="81"/>
            <rFont val="Tahoma"/>
            <family val="2"/>
          </rPr>
          <t>Move or Copy...</t>
        </r>
        <r>
          <rPr>
            <sz val="9"/>
            <color indexed="81"/>
            <rFont val="Tahoma"/>
            <family val="2"/>
          </rPr>
          <t xml:space="preserve"> &gt; </t>
        </r>
        <r>
          <rPr>
            <b/>
            <sz val="9"/>
            <color indexed="81"/>
            <rFont val="Tahoma"/>
            <family val="2"/>
          </rPr>
          <t>To book</t>
        </r>
        <r>
          <rPr>
            <sz val="9"/>
            <color indexed="81"/>
            <rFont val="Tahoma"/>
            <family val="2"/>
          </rPr>
          <t xml:space="preserve"> &gt; </t>
        </r>
        <r>
          <rPr>
            <b/>
            <sz val="9"/>
            <color indexed="81"/>
            <rFont val="Tahoma"/>
            <family val="2"/>
          </rPr>
          <t>(new book)</t>
        </r>
        <r>
          <rPr>
            <sz val="9"/>
            <color indexed="81"/>
            <rFont val="Tahoma"/>
            <family val="2"/>
          </rPr>
          <t xml:space="preserve">. Ensure that </t>
        </r>
        <r>
          <rPr>
            <b/>
            <sz val="9"/>
            <color indexed="81"/>
            <rFont val="Tahoma"/>
            <family val="2"/>
          </rPr>
          <t>Create a copy</t>
        </r>
        <r>
          <rPr>
            <sz val="9"/>
            <color indexed="81"/>
            <rFont val="Tahoma"/>
            <family val="2"/>
          </rPr>
          <t xml:space="preserve"> is checked. You can safely save the new workbook as a CSV.</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Andrew Alvin</author>
  </authors>
  <commentList>
    <comment ref="B34" authorId="0" shapeId="0" xr:uid="{7829BEEC-4A3E-46A5-93D8-DFA92B7A4DC4}">
      <text>
        <r>
          <rPr>
            <sz val="9"/>
            <color indexed="81"/>
            <rFont val="Tahoma"/>
            <family val="2"/>
          </rPr>
          <t xml:space="preserve">If you are using Power Query, you can select a column and go to </t>
        </r>
        <r>
          <rPr>
            <b/>
            <sz val="9"/>
            <color indexed="81"/>
            <rFont val="Tahoma"/>
            <family val="2"/>
          </rPr>
          <t>Ribbon</t>
        </r>
        <r>
          <rPr>
            <sz val="9"/>
            <color indexed="81"/>
            <rFont val="Tahoma"/>
            <family val="2"/>
          </rPr>
          <t xml:space="preserve"> &gt; </t>
        </r>
        <r>
          <rPr>
            <b/>
            <sz val="9"/>
            <color indexed="81"/>
            <rFont val="Tahoma"/>
            <family val="2"/>
          </rPr>
          <t>Transform</t>
        </r>
        <r>
          <rPr>
            <sz val="9"/>
            <color indexed="81"/>
            <rFont val="Tahoma"/>
            <family val="2"/>
          </rPr>
          <t xml:space="preserve"> &gt; </t>
        </r>
        <r>
          <rPr>
            <b/>
            <sz val="9"/>
            <color indexed="81"/>
            <rFont val="Tahoma"/>
            <family val="2"/>
          </rPr>
          <t>Any Column</t>
        </r>
        <r>
          <rPr>
            <sz val="9"/>
            <color indexed="81"/>
            <rFont val="Tahoma"/>
            <family val="2"/>
          </rPr>
          <t xml:space="preserve"> group &gt; </t>
        </r>
        <r>
          <rPr>
            <b/>
            <sz val="9"/>
            <color indexed="81"/>
            <rFont val="Tahoma"/>
            <family val="2"/>
          </rPr>
          <t>Replace Values</t>
        </r>
        <r>
          <rPr>
            <sz val="9"/>
            <color indexed="81"/>
            <rFont val="Tahoma"/>
            <family val="2"/>
          </rPr>
          <t xml:space="preserve"> &gt; </t>
        </r>
        <r>
          <rPr>
            <b/>
            <sz val="9"/>
            <color indexed="81"/>
            <rFont val="Tahoma"/>
            <family val="2"/>
          </rPr>
          <t>Replace Values</t>
        </r>
        <r>
          <rPr>
            <sz val="9"/>
            <color indexed="81"/>
            <rFont val="Tahoma"/>
            <family val="2"/>
          </rPr>
          <t xml:space="preserve">.
Alternatively, you can right-click the column header and click </t>
        </r>
        <r>
          <rPr>
            <b/>
            <sz val="9"/>
            <color indexed="81"/>
            <rFont val="Tahoma"/>
            <family val="2"/>
          </rPr>
          <t>Replace Values...</t>
        </r>
        <r>
          <rPr>
            <sz val="9"/>
            <color indexed="81"/>
            <rFont val="Tahoma"/>
            <family val="2"/>
          </rPr>
          <t>.</t>
        </r>
      </text>
    </comment>
    <comment ref="B50" authorId="0" shapeId="0" xr:uid="{B991666B-57F0-498F-857D-9D9E03FCAC9B}">
      <text>
        <r>
          <rPr>
            <sz val="9"/>
            <color indexed="81"/>
            <rFont val="Tahoma"/>
            <family val="2"/>
          </rPr>
          <t>Take note of which date strings fail to be parsed as calendar dates. This will give you a good idea of how to fix the problem.</t>
        </r>
      </text>
    </comment>
    <comment ref="B52" authorId="0" shapeId="0" xr:uid="{21443991-B900-4D3F-BFF1-DC4DB3D32080}">
      <text>
        <r>
          <rPr>
            <sz val="9"/>
            <color indexed="81"/>
            <rFont val="Tahoma"/>
            <family val="2"/>
          </rPr>
          <t>"Wed" is a valid weekday abbreviation, but "Weds" might not be.</t>
        </r>
      </text>
    </comment>
    <comment ref="B54" authorId="0" shapeId="0" xr:uid="{3AD18B62-ABD0-4741-A9CC-F04333A54568}">
      <text>
        <r>
          <rPr>
            <sz val="9"/>
            <color indexed="81"/>
            <rFont val="Tahoma"/>
            <family val="2"/>
          </rPr>
          <t xml:space="preserve">If you are using Power Query, try the </t>
        </r>
        <r>
          <rPr>
            <b/>
            <sz val="9"/>
            <color indexed="81"/>
            <rFont val="Tahoma"/>
            <family val="2"/>
          </rPr>
          <t>Replace Values</t>
        </r>
        <r>
          <rPr>
            <sz val="9"/>
            <color indexed="81"/>
            <rFont val="Tahoma"/>
            <family val="2"/>
          </rPr>
          <t xml:space="preserve"> function.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Andrew Alvin</author>
  </authors>
  <commentList>
    <comment ref="B22" authorId="0" shapeId="0" xr:uid="{2C3D837E-ABCE-404E-B4CE-07AF5DC9E43D}">
      <text>
        <r>
          <rPr>
            <sz val="9"/>
            <color indexed="81"/>
            <rFont val="Tahoma"/>
            <family val="2"/>
          </rPr>
          <t>If you are using Excel, try the SUM() formula function.</t>
        </r>
      </text>
    </comment>
    <comment ref="B34" authorId="0" shapeId="0" xr:uid="{0D9B6E06-8DD2-4BF1-8A82-5A0059C02485}">
      <text>
        <r>
          <rPr>
            <sz val="9"/>
            <color indexed="81"/>
            <rFont val="Tahoma"/>
            <family val="2"/>
          </rPr>
          <t>A PivotTable is a good choice.
To avoid Excel complaints, the best place to put the Pivot Table is at the bottom of this worksheet.</t>
        </r>
      </text>
    </comment>
    <comment ref="B36" authorId="0" shapeId="0" xr:uid="{673E52F1-1939-40D7-B5FA-1AB1CF18CCC6}">
      <text>
        <r>
          <rPr>
            <sz val="9"/>
            <color indexed="81"/>
            <rFont val="Tahoma"/>
            <family val="2"/>
          </rPr>
          <t xml:space="preserve">You can sort the Values column of a Pivot Table as follows.
1. In the Values column, right-click any cell except the header.
2. Go to </t>
        </r>
        <r>
          <rPr>
            <b/>
            <sz val="9"/>
            <color indexed="81"/>
            <rFont val="Tahoma"/>
            <family val="2"/>
          </rPr>
          <t>Sort</t>
        </r>
        <r>
          <rPr>
            <sz val="9"/>
            <color indexed="81"/>
            <rFont val="Tahoma"/>
            <family val="2"/>
          </rPr>
          <t xml:space="preserve"> &gt; </t>
        </r>
        <r>
          <rPr>
            <b/>
            <sz val="9"/>
            <color indexed="81"/>
            <rFont val="Tahoma"/>
            <family val="2"/>
          </rPr>
          <t>Sort Smallest to Largest</t>
        </r>
        <r>
          <rPr>
            <sz val="9"/>
            <color indexed="81"/>
            <rFont val="Tahoma"/>
            <family val="2"/>
          </rPr>
          <t xml:space="preserve"> or </t>
        </r>
        <r>
          <rPr>
            <b/>
            <sz val="9"/>
            <color indexed="81"/>
            <rFont val="Tahoma"/>
            <family val="2"/>
          </rPr>
          <t>Sort Largest to Smallest</t>
        </r>
        <r>
          <rPr>
            <sz val="9"/>
            <color indexed="81"/>
            <rFont val="Tahoma"/>
            <family val="2"/>
          </rPr>
          <t>.</t>
        </r>
      </text>
    </comment>
    <comment ref="B57" authorId="0" shapeId="0" xr:uid="{C6021B1E-F594-4F07-A873-326004681E13}">
      <text>
        <r>
          <rPr>
            <sz val="9"/>
            <color indexed="81"/>
            <rFont val="Tahoma"/>
            <family val="2"/>
          </rPr>
          <t>If you are using a PivotTable, try dragging the "DiscountPercent" field into both the Rows and Values areas of the PivotTable Fields pane. In the Values area, change the aggregation method of DiscountPercent to Count (</t>
        </r>
        <r>
          <rPr>
            <b/>
            <sz val="9"/>
            <color indexed="81"/>
            <rFont val="Tahoma"/>
            <family val="2"/>
          </rPr>
          <t>Value Field Settings...</t>
        </r>
        <r>
          <rPr>
            <sz val="9"/>
            <color indexed="81"/>
            <rFont val="Tahoma"/>
            <family val="2"/>
          </rPr>
          <t xml:space="preserve"> &gt; </t>
        </r>
        <r>
          <rPr>
            <b/>
            <sz val="9"/>
            <color indexed="81"/>
            <rFont val="Tahoma"/>
            <family val="2"/>
          </rPr>
          <t>Summarize value field by</t>
        </r>
        <r>
          <rPr>
            <sz val="9"/>
            <color indexed="81"/>
            <rFont val="Tahoma"/>
            <family val="2"/>
          </rPr>
          <t>).</t>
        </r>
      </text>
    </comment>
    <comment ref="B59" authorId="0" shapeId="0" xr:uid="{923DA73B-EC18-4E87-A8D9-AF26BCD52C51}">
      <text>
        <r>
          <rPr>
            <sz val="9"/>
            <color indexed="81"/>
            <rFont val="Tahoma"/>
            <family val="2"/>
          </rPr>
          <t xml:space="preserve">If you are using a PivotTable, a Values column can be sorted by right-clicking somewhere inside the column &gt; </t>
        </r>
        <r>
          <rPr>
            <b/>
            <sz val="9"/>
            <color indexed="81"/>
            <rFont val="Tahoma"/>
            <family val="2"/>
          </rPr>
          <t>Sort</t>
        </r>
        <r>
          <rPr>
            <sz val="9"/>
            <color indexed="81"/>
            <rFont val="Tahoma"/>
            <family val="2"/>
          </rPr>
          <t>.</t>
        </r>
      </text>
    </comment>
    <comment ref="B77" authorId="0" shapeId="0" xr:uid="{33565AD6-078A-41B0-84B3-5808EC5A0603}">
      <text>
        <r>
          <rPr>
            <sz val="9"/>
            <color indexed="81"/>
            <rFont val="Tahoma"/>
            <family val="2"/>
          </rPr>
          <t>As an alternative to a PivotTable, you may wish to try SUMIF() or SUMPRODUCT().</t>
        </r>
      </text>
    </comment>
    <comment ref="B91" authorId="0" shapeId="0" xr:uid="{8E205223-2D43-4D51-AC91-AF546A441537}">
      <text>
        <r>
          <rPr>
            <sz val="9"/>
            <color indexed="81"/>
            <rFont val="Tahoma"/>
            <family val="2"/>
          </rPr>
          <t xml:space="preserve">PivotTables can perform date aggregation by Year, Month, Day etc.
Right-click somewhere inside a date column of a PivotTable and select </t>
        </r>
        <r>
          <rPr>
            <b/>
            <sz val="9"/>
            <color indexed="81"/>
            <rFont val="Tahoma"/>
            <family val="2"/>
          </rPr>
          <t>Group...</t>
        </r>
        <r>
          <rPr>
            <sz val="9"/>
            <color indexed="81"/>
            <rFont val="Tahoma"/>
            <family val="2"/>
          </rPr>
          <t>.</t>
        </r>
      </text>
    </comment>
    <comment ref="B93" authorId="0" shapeId="0" xr:uid="{BAB2F168-0761-4F20-B445-396BDA572A39}">
      <text>
        <r>
          <rPr>
            <sz val="9"/>
            <color indexed="81"/>
            <rFont val="Tahoma"/>
            <family val="2"/>
          </rPr>
          <t xml:space="preserve">Alternatively, you may wish to create a [Year] column in the </t>
        </r>
        <r>
          <rPr>
            <b/>
            <sz val="9"/>
            <color indexed="81"/>
            <rFont val="Tahoma"/>
            <family val="2"/>
          </rPr>
          <t>Sales</t>
        </r>
        <r>
          <rPr>
            <sz val="9"/>
            <color indexed="81"/>
            <rFont val="Tahoma"/>
            <family val="2"/>
          </rPr>
          <t xml:space="preserve"> table. If you are using Power Query, select the [OrderDate] column in the Power Query Editor and go to </t>
        </r>
        <r>
          <rPr>
            <b/>
            <sz val="9"/>
            <color indexed="81"/>
            <rFont val="Tahoma"/>
            <family val="2"/>
          </rPr>
          <t>Ribbon</t>
        </r>
        <r>
          <rPr>
            <sz val="9"/>
            <color indexed="81"/>
            <rFont val="Tahoma"/>
            <family val="2"/>
          </rPr>
          <t xml:space="preserve"> &gt; </t>
        </r>
        <r>
          <rPr>
            <b/>
            <sz val="9"/>
            <color indexed="81"/>
            <rFont val="Tahoma"/>
            <family val="2"/>
          </rPr>
          <t>Add Column</t>
        </r>
        <r>
          <rPr>
            <sz val="9"/>
            <color indexed="81"/>
            <rFont val="Tahoma"/>
            <family val="2"/>
          </rPr>
          <t xml:space="preserve"> &gt; </t>
        </r>
        <r>
          <rPr>
            <b/>
            <sz val="9"/>
            <color indexed="81"/>
            <rFont val="Tahoma"/>
            <family val="2"/>
          </rPr>
          <t>From Date &amp; Time</t>
        </r>
        <r>
          <rPr>
            <sz val="9"/>
            <color indexed="81"/>
            <rFont val="Tahoma"/>
            <family val="2"/>
          </rPr>
          <t xml:space="preserve"> group, and select an option as appropriate.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Andrew Alvin</author>
  </authors>
  <commentList>
    <comment ref="B19" authorId="0" shapeId="0" xr:uid="{645F1ED5-2B2B-4BFE-A7DD-7CFDD4F299B0}">
      <text>
        <r>
          <rPr>
            <sz val="9"/>
            <color indexed="81"/>
            <rFont val="Tahoma"/>
            <family val="2"/>
          </rPr>
          <t xml:space="preserve">If you are using Power Query, it might be necessary to promote the headers of the [Product] Query. In the Power Query Editor, go to </t>
        </r>
        <r>
          <rPr>
            <b/>
            <sz val="9"/>
            <color indexed="81"/>
            <rFont val="Tahoma"/>
            <family val="2"/>
          </rPr>
          <t>Ribbon</t>
        </r>
        <r>
          <rPr>
            <sz val="9"/>
            <color indexed="81"/>
            <rFont val="Tahoma"/>
            <family val="2"/>
          </rPr>
          <t xml:space="preserve"> &gt; </t>
        </r>
        <r>
          <rPr>
            <b/>
            <sz val="9"/>
            <color indexed="81"/>
            <rFont val="Tahoma"/>
            <family val="2"/>
          </rPr>
          <t>Transform</t>
        </r>
        <r>
          <rPr>
            <sz val="9"/>
            <color indexed="81"/>
            <rFont val="Tahoma"/>
            <family val="2"/>
          </rPr>
          <t xml:space="preserve"> &gt; </t>
        </r>
        <r>
          <rPr>
            <b/>
            <sz val="9"/>
            <color indexed="81"/>
            <rFont val="Tahoma"/>
            <family val="2"/>
          </rPr>
          <t>Table</t>
        </r>
        <r>
          <rPr>
            <sz val="9"/>
            <color indexed="81"/>
            <rFont val="Tahoma"/>
            <family val="2"/>
          </rPr>
          <t xml:space="preserve"> group &gt; </t>
        </r>
        <r>
          <rPr>
            <b/>
            <sz val="9"/>
            <color indexed="81"/>
            <rFont val="Tahoma"/>
            <family val="2"/>
          </rPr>
          <t>Use First Row as Headers</t>
        </r>
        <r>
          <rPr>
            <sz val="9"/>
            <color indexed="81"/>
            <rFont val="Tahoma"/>
            <family val="2"/>
          </rPr>
          <t>.</t>
        </r>
      </text>
    </comment>
    <comment ref="B32" authorId="0" shapeId="0" xr:uid="{5D405F2C-4E3D-4BAF-902D-9D13BD6049D0}">
      <text>
        <r>
          <rPr>
            <sz val="9"/>
            <color indexed="81"/>
            <rFont val="Tahoma"/>
            <family val="2"/>
          </rPr>
          <t>Look out for non-numeric characters.</t>
        </r>
      </text>
    </comment>
    <comment ref="B50" authorId="0" shapeId="0" xr:uid="{BF8DA913-F4B1-4360-AEDC-873BFC11962D}">
      <text>
        <r>
          <rPr>
            <sz val="9"/>
            <color indexed="81"/>
            <rFont val="Tahoma"/>
            <family val="2"/>
          </rPr>
          <t xml:space="preserve">If you are using Power Query, you can create a calculated column by going to </t>
        </r>
        <r>
          <rPr>
            <b/>
            <sz val="9"/>
            <color indexed="81"/>
            <rFont val="Tahoma"/>
            <family val="2"/>
          </rPr>
          <t>Ribbon</t>
        </r>
        <r>
          <rPr>
            <sz val="9"/>
            <color indexed="81"/>
            <rFont val="Tahoma"/>
            <family val="2"/>
          </rPr>
          <t xml:space="preserve"> &gt; </t>
        </r>
        <r>
          <rPr>
            <b/>
            <sz val="9"/>
            <color indexed="81"/>
            <rFont val="Tahoma"/>
            <family val="2"/>
          </rPr>
          <t>Add Column</t>
        </r>
        <r>
          <rPr>
            <sz val="9"/>
            <color indexed="81"/>
            <rFont val="Tahoma"/>
            <family val="2"/>
          </rPr>
          <t xml:space="preserve"> &gt; </t>
        </r>
        <r>
          <rPr>
            <b/>
            <sz val="9"/>
            <color indexed="81"/>
            <rFont val="Tahoma"/>
            <family val="2"/>
          </rPr>
          <t>General</t>
        </r>
        <r>
          <rPr>
            <sz val="9"/>
            <color indexed="81"/>
            <rFont val="Tahoma"/>
            <family val="2"/>
          </rPr>
          <t xml:space="preserve"> group &gt; </t>
        </r>
        <r>
          <rPr>
            <b/>
            <sz val="9"/>
            <color indexed="81"/>
            <rFont val="Tahoma"/>
            <family val="2"/>
          </rPr>
          <t>Custom Column</t>
        </r>
        <r>
          <rPr>
            <sz val="9"/>
            <color indexed="81"/>
            <rFont val="Tahoma"/>
            <family val="2"/>
          </rPr>
          <t>.</t>
        </r>
      </text>
    </comment>
    <comment ref="B52" authorId="0" shapeId="0" xr:uid="{6AA4D805-155C-4FBF-AE43-BE10AE3DA056}">
      <text>
        <r>
          <rPr>
            <sz val="9"/>
            <color indexed="81"/>
            <rFont val="Tahoma"/>
            <family val="2"/>
          </rPr>
          <t>If you are using Power Query, if you convert a column to the Currency type, this will also perform rounding to 4 decimal places.</t>
        </r>
      </text>
    </comment>
    <comment ref="B139" authorId="0" shapeId="0" xr:uid="{5933C059-A3B2-4918-AECD-995986DB8CF7}">
      <text>
        <r>
          <rPr>
            <sz val="9"/>
            <color indexed="81"/>
            <rFont val="Tahoma"/>
            <family val="2"/>
          </rPr>
          <t>For example, if [CostPrice] is £8.00 and [Markup] is £2.00, [MarkupPercent] should be 25%, since 2.00 / 8.00 = 0.25.</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Andrew Alvin</author>
  </authors>
  <commentList>
    <comment ref="B21" authorId="0" shapeId="0" xr:uid="{EE3D1061-6178-45EF-AF51-A81FA7068737}">
      <text>
        <r>
          <rPr>
            <sz val="9"/>
            <color indexed="81"/>
            <rFont val="Tahoma"/>
            <family val="2"/>
          </rPr>
          <t xml:space="preserve">Before you begin this question, you should ensure that the Product table has been loaded to cells.
1. Open the </t>
        </r>
        <r>
          <rPr>
            <b/>
            <sz val="9"/>
            <color indexed="81"/>
            <rFont val="Tahoma"/>
            <family val="2"/>
          </rPr>
          <t>Queries &amp; Connections</t>
        </r>
        <r>
          <rPr>
            <sz val="9"/>
            <color indexed="81"/>
            <rFont val="Tahoma"/>
            <family val="2"/>
          </rPr>
          <t xml:space="preserve"> panel. </t>
        </r>
        <r>
          <rPr>
            <b/>
            <sz val="9"/>
            <color indexed="81"/>
            <rFont val="Tahoma"/>
            <family val="2"/>
          </rPr>
          <t>Ribbon</t>
        </r>
        <r>
          <rPr>
            <sz val="9"/>
            <color indexed="81"/>
            <rFont val="Tahoma"/>
            <family val="2"/>
          </rPr>
          <t xml:space="preserve"> &gt; </t>
        </r>
        <r>
          <rPr>
            <b/>
            <sz val="9"/>
            <color indexed="81"/>
            <rFont val="Tahoma"/>
            <family val="2"/>
          </rPr>
          <t>Data</t>
        </r>
        <r>
          <rPr>
            <sz val="9"/>
            <color indexed="81"/>
            <rFont val="Tahoma"/>
            <family val="2"/>
          </rPr>
          <t xml:space="preserve"> tab &gt; </t>
        </r>
        <r>
          <rPr>
            <b/>
            <sz val="9"/>
            <color indexed="81"/>
            <rFont val="Tahoma"/>
            <family val="2"/>
          </rPr>
          <t>Queries &amp; Connections</t>
        </r>
        <r>
          <rPr>
            <sz val="9"/>
            <color indexed="81"/>
            <rFont val="Tahoma"/>
            <family val="2"/>
          </rPr>
          <t xml:space="preserve"> group &gt; </t>
        </r>
        <r>
          <rPr>
            <b/>
            <sz val="9"/>
            <color indexed="81"/>
            <rFont val="Tahoma"/>
            <family val="2"/>
          </rPr>
          <t>Queries &amp; Connections</t>
        </r>
        <r>
          <rPr>
            <sz val="9"/>
            <color indexed="81"/>
            <rFont val="Tahoma"/>
            <family val="2"/>
          </rPr>
          <t xml:space="preserve">.
2. Find the "Product" Query. If you see "1,830 rows loaded" below the Query then it has been loaded to cells. If you instead see "Connection only" then the Query has not been loaded to cells.
3. Right-click the "Product" Query &gt; </t>
        </r>
        <r>
          <rPr>
            <b/>
            <sz val="9"/>
            <color indexed="81"/>
            <rFont val="Tahoma"/>
            <family val="2"/>
          </rPr>
          <t>Load To...</t>
        </r>
        <r>
          <rPr>
            <sz val="9"/>
            <color indexed="81"/>
            <rFont val="Tahoma"/>
            <family val="2"/>
          </rPr>
          <t xml:space="preserve">. Select </t>
        </r>
        <r>
          <rPr>
            <b/>
            <sz val="9"/>
            <color indexed="81"/>
            <rFont val="Tahoma"/>
            <family val="2"/>
          </rPr>
          <t>Table</t>
        </r>
        <r>
          <rPr>
            <sz val="9"/>
            <color indexed="81"/>
            <rFont val="Tahoma"/>
            <family val="2"/>
          </rPr>
          <t xml:space="preserve"> and </t>
        </r>
        <r>
          <rPr>
            <b/>
            <sz val="9"/>
            <color indexed="81"/>
            <rFont val="Tahoma"/>
            <family val="2"/>
          </rPr>
          <t>New worksheet</t>
        </r>
        <r>
          <rPr>
            <sz val="9"/>
            <color indexed="81"/>
            <rFont val="Tahoma"/>
            <family val="2"/>
          </rPr>
          <t xml:space="preserve">, and click </t>
        </r>
        <r>
          <rPr>
            <b/>
            <sz val="9"/>
            <color indexed="81"/>
            <rFont val="Tahoma"/>
            <family val="2"/>
          </rPr>
          <t>OK</t>
        </r>
        <r>
          <rPr>
            <sz val="9"/>
            <color indexed="81"/>
            <rFont val="Tahoma"/>
            <family val="2"/>
          </rPr>
          <t>.</t>
        </r>
      </text>
    </comment>
    <comment ref="B40" authorId="0" shapeId="0" xr:uid="{A28D25B3-7AE7-4EA6-8C58-890FF3964638}">
      <text>
        <r>
          <rPr>
            <sz val="9"/>
            <color indexed="81"/>
            <rFont val="Tahoma"/>
            <family val="2"/>
          </rPr>
          <t>The MAX() function can help you find the highest [Markup] value.</t>
        </r>
      </text>
    </comment>
    <comment ref="B42" authorId="0" shapeId="0" xr:uid="{D9D1102B-8185-4708-B563-65BF131FB3C6}">
      <text>
        <r>
          <rPr>
            <sz val="9"/>
            <color indexed="81"/>
            <rFont val="Tahoma"/>
            <family val="2"/>
          </rPr>
          <t>Once you have found the highest [Markup] value, try using a lookup function to retrieve [ProductID] from the same row.</t>
        </r>
      </text>
    </comment>
    <comment ref="B44" authorId="0" shapeId="0" xr:uid="{AA0C56C8-3628-4091-A53F-B7E200284A59}">
      <text>
        <r>
          <rPr>
            <sz val="9"/>
            <color indexed="81"/>
            <rFont val="Tahoma"/>
            <family val="2"/>
          </rPr>
          <t xml:space="preserve">Alternatively, you can just sort the </t>
        </r>
        <r>
          <rPr>
            <b/>
            <sz val="9"/>
            <color indexed="81"/>
            <rFont val="Tahoma"/>
            <family val="2"/>
          </rPr>
          <t>Product</t>
        </r>
        <r>
          <rPr>
            <sz val="9"/>
            <color indexed="81"/>
            <rFont val="Tahoma"/>
            <family val="2"/>
          </rPr>
          <t xml:space="preserve"> table by [Markup]—but that's not as elegant!</t>
        </r>
      </text>
    </comment>
    <comment ref="B64" authorId="0" shapeId="0" xr:uid="{E0969F93-B46D-40E7-8C64-A51F1AEAA32F}">
      <text>
        <r>
          <rPr>
            <sz val="9"/>
            <color indexed="81"/>
            <rFont val="Tahoma"/>
            <family val="2"/>
          </rPr>
          <t>The COUNTIF() function is a good option.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Andrew Alvin</author>
  </authors>
  <commentList>
    <comment ref="B30" authorId="0" shapeId="0" xr:uid="{ABCDEB5C-90B1-4AC2-8015-DDE8469359EB}">
      <text>
        <r>
          <rPr>
            <sz val="9"/>
            <color indexed="81"/>
            <rFont val="Tahoma"/>
            <family val="2"/>
          </rPr>
          <t>You will need to use the [DiscountPercent] column.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Andrew Alvin</author>
  </authors>
  <commentList>
    <comment ref="B21" authorId="0" shapeId="0" xr:uid="{DBB47E0D-26D0-4785-BC9C-000767033BC6}">
      <text>
        <r>
          <rPr>
            <sz val="9"/>
            <color indexed="81"/>
            <rFont val="Tahoma"/>
            <family val="2"/>
          </rPr>
          <t>If your two sums differ by a few cents, backtrack and try to fix any rounding errors.</t>
        </r>
      </text>
    </comment>
    <comment ref="B46" authorId="0" shapeId="0" xr:uid="{F33441EC-0B7C-4815-B0C0-42D0675A7636}">
      <text>
        <r>
          <rPr>
            <sz val="9"/>
            <color indexed="81"/>
            <rFont val="Tahoma"/>
            <family val="2"/>
          </rPr>
          <t xml:space="preserve">PivotTables can perform date aggregation by Year, Month, Day etc.
Right-click somewhere inside a date column of a PivotTable and select </t>
        </r>
        <r>
          <rPr>
            <b/>
            <sz val="9"/>
            <color indexed="81"/>
            <rFont val="Tahoma"/>
            <family val="2"/>
          </rPr>
          <t>Group...</t>
        </r>
        <r>
          <rPr>
            <sz val="9"/>
            <color indexed="81"/>
            <rFont val="Tahoma"/>
            <family val="2"/>
          </rPr>
          <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Andrew Alvin</author>
  </authors>
  <commentList>
    <comment ref="B41" authorId="0" shapeId="0" xr:uid="{F36634C9-55E1-4EBD-A785-BBDB1F4C36DE}">
      <text>
        <r>
          <rPr>
            <sz val="9"/>
            <color indexed="81"/>
            <rFont val="Tahoma"/>
            <family val="2"/>
          </rPr>
          <t xml:space="preserve">If you are using Power Query, click </t>
        </r>
        <r>
          <rPr>
            <b/>
            <sz val="9"/>
            <color indexed="81"/>
            <rFont val="Tahoma"/>
            <family val="2"/>
          </rPr>
          <t>Merge Queries</t>
        </r>
        <r>
          <rPr>
            <sz val="9"/>
            <color indexed="81"/>
            <rFont val="Tahoma"/>
            <family val="2"/>
          </rPr>
          <t xml:space="preserve">, not </t>
        </r>
        <r>
          <rPr>
            <b/>
            <sz val="9"/>
            <color indexed="81"/>
            <rFont val="Tahoma"/>
            <family val="2"/>
          </rPr>
          <t>Merge Queries as New</t>
        </r>
        <r>
          <rPr>
            <sz val="9"/>
            <color indexed="81"/>
            <rFont val="Tahoma"/>
            <family val="2"/>
          </rPr>
          <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Andrew Alvin</author>
  </authors>
  <commentList>
    <comment ref="B17" authorId="0" shapeId="0" xr:uid="{4CD7A209-5A71-4AF3-A5E6-6DF344C8F74C}">
      <text>
        <r>
          <rPr>
            <sz val="9"/>
            <color indexed="81"/>
            <rFont val="Tahoma"/>
            <family val="2"/>
          </rPr>
          <t>If you are using a PivotTable, populate both the Rows and Columns areas.</t>
        </r>
      </text>
    </comment>
    <comment ref="B38" authorId="0" shapeId="0" xr:uid="{9488FE90-218D-4AA7-9D9A-E38EB1FD37A8}">
      <text>
        <r>
          <rPr>
            <sz val="9"/>
            <color indexed="81"/>
            <rFont val="Tahoma"/>
            <family val="2"/>
          </rPr>
          <t xml:space="preserve">PivotTables can perform date aggregation by Year, Month, Day etc.
Right-click somewhere inside a date column of a PivotTable and select </t>
        </r>
        <r>
          <rPr>
            <b/>
            <sz val="9"/>
            <color indexed="81"/>
            <rFont val="Tahoma"/>
            <family val="2"/>
          </rPr>
          <t>Group...</t>
        </r>
        <r>
          <rPr>
            <sz val="9"/>
            <color indexed="81"/>
            <rFont val="Tahoma"/>
            <family val="2"/>
          </rPr>
          <t>.</t>
        </r>
      </text>
    </comment>
  </commentList>
</comments>
</file>

<file path=xl/sharedStrings.xml><?xml version="1.0" encoding="utf-8"?>
<sst xmlns="http://schemas.openxmlformats.org/spreadsheetml/2006/main" count="399" uniqueCount="329">
  <si>
    <t>Introduction</t>
  </si>
  <si>
    <t>Key</t>
  </si>
  <si>
    <t>TODO</t>
  </si>
  <si>
    <t>E1.1</t>
  </si>
  <si>
    <t>Q3.1</t>
  </si>
  <si>
    <t>Question or exercise</t>
  </si>
  <si>
    <t>Optional extension question or exercise</t>
  </si>
  <si>
    <t>Go to tables</t>
  </si>
  <si>
    <t>E2.2</t>
  </si>
  <si>
    <t>Hint</t>
  </si>
  <si>
    <t>E2.1</t>
  </si>
  <si>
    <t>Q3.2</t>
  </si>
  <si>
    <t>E2.3</t>
  </si>
  <si>
    <t>Q3.3</t>
  </si>
  <si>
    <t>Q0.0 / E0.0</t>
  </si>
  <si>
    <t>Q0.0 † / E0.0 †</t>
  </si>
  <si>
    <t>Q5.1</t>
  </si>
  <si>
    <t>Q7.1</t>
  </si>
  <si>
    <t>Q7.2</t>
  </si>
  <si>
    <t>Q7.3</t>
  </si>
  <si>
    <t>Q7.4</t>
  </si>
  <si>
    <t>Help</t>
  </si>
  <si>
    <t>https://www.instituteforapprenticeships.org/media/4612/st0795_data_technician_l3_assessment-plan-for-publication_c27_qm-adjustment-october-2020.pdf</t>
  </si>
  <si>
    <t>Scenario Demonstration Practice</t>
  </si>
  <si>
    <t>Apprentices must be observed by an independent assessor completing 2 scenario demonstrations in which they will demonstrate the KSBs assigned to this assessment method. This will be supplemented by questioning by the independent assessor to establish the apprentice’s understanding of underpinning reasoning.</t>
  </si>
  <si>
    <r>
      <t xml:space="preserve">This activity provides an opportunity to practice for </t>
    </r>
    <r>
      <rPr>
        <b/>
        <sz val="11"/>
        <color theme="1"/>
        <rFont val="Calibri"/>
        <family val="2"/>
        <scheme val="minor"/>
      </rPr>
      <t>Assessment Method 1: Scenario Demonstration with Questioning</t>
    </r>
    <r>
      <rPr>
        <sz val="11"/>
        <color theme="1"/>
        <rFont val="Calibri"/>
        <family val="2"/>
        <scheme val="minor"/>
      </rPr>
      <t>.</t>
    </r>
  </si>
  <si>
    <t>The End-Point Assessment phase of this apprenticeship consists of two assessment methods:</t>
  </si>
  <si>
    <t>There will be two scenarios: one scenario requiring the apprentice to conduct data gathering operations, and one scenario requiring data analysis and validation operations.</t>
  </si>
  <si>
    <t>The Data Gathering SD and the Data Analysis &amp; Validation SD each focus on different KSBs. Please see the "KSBs" tab for full details.</t>
  </si>
  <si>
    <r>
      <t xml:space="preserve">Assessment Method 1 consists of </t>
    </r>
    <r>
      <rPr>
        <b/>
        <sz val="11"/>
        <color theme="1"/>
        <rFont val="Calibri"/>
        <family val="2"/>
        <scheme val="minor"/>
      </rPr>
      <t>two</t>
    </r>
    <r>
      <rPr>
        <sz val="11"/>
        <color theme="1"/>
        <rFont val="Calibri"/>
        <family val="2"/>
        <scheme val="minor"/>
      </rPr>
      <t xml:space="preserve"> scenario demonstrations, each lasting </t>
    </r>
    <r>
      <rPr>
        <b/>
        <sz val="11"/>
        <color theme="1"/>
        <rFont val="Calibri"/>
        <family val="2"/>
        <scheme val="minor"/>
      </rPr>
      <t>45 minutes</t>
    </r>
    <r>
      <rPr>
        <sz val="11"/>
        <color theme="1"/>
        <rFont val="Calibri"/>
        <family val="2"/>
        <scheme val="minor"/>
      </rPr>
      <t>.</t>
    </r>
  </si>
  <si>
    <t>•  Assessment Method 1: Scenario Demonstration with Questioning (90 mins total).</t>
  </si>
  <si>
    <t>The following activities MUST be observed during the scenario demonstrations as without these tasks it would seriously hamper the opportunity for the apprentice to demonstrate occupational competence in the KSBs assigned to this assessment method.
  •  Access multiple different data sources.
  •  Examine data retrieved from sources using appropriate tools.
  •  Make adjustments to a data set, for example to correct obvious errors or to filter a data set to a required subset of records and/or fields.
  •  Save a data set to a required location in a specified format.
  •  Make notes on observations and actions taken.
  •  Identify and explain key characteristics of a data set, relevant to the stated purpose.</t>
  </si>
  <si>
    <t>The Institute for Apprenticeships and Technical Education (IfATE) describes Assessment Method 1 as follows.</t>
  </si>
  <si>
    <t>To facilitate evidencing of all KSBs, IfATE outlines the following requirements.</t>
  </si>
  <si>
    <r>
      <t xml:space="preserve">This activity is intended to provide practice for </t>
    </r>
    <r>
      <rPr>
        <b/>
        <sz val="11"/>
        <color theme="1"/>
        <rFont val="Calibri"/>
        <family val="2"/>
        <scheme val="minor"/>
      </rPr>
      <t>both</t>
    </r>
    <r>
      <rPr>
        <sz val="11"/>
        <color theme="1"/>
        <rFont val="Calibri"/>
        <family val="2"/>
        <scheme val="minor"/>
      </rPr>
      <t xml:space="preserve"> the Data Gathering and Data Analysis &amp; Validation scenario demonstrations.</t>
    </r>
  </si>
  <si>
    <t>It is recommended that you complete the exercises of this activity using Excel and Power Query. However, you may use any tools that you wish.</t>
  </si>
  <si>
    <t>Before you begin</t>
  </si>
  <si>
    <t>For more information about End-Point Assessment, please see the below document, provided by the Institute for Apprenticeships and Technical Education. It is highly recommended that you familiarise yourself with this document prior to EPA.</t>
  </si>
  <si>
    <t>Find the provided "data" folder and ensure that it contains the following files:</t>
  </si>
  <si>
    <t>•  Assessment Method 2: Professional Discussion Underpinned by Portfolio (60 mins total).</t>
  </si>
  <si>
    <t>Further reading</t>
  </si>
  <si>
    <t>Click here to start the activity</t>
  </si>
  <si>
    <t>⚠️ Take care not to modify any of these data files, as this might introduce discrepancies between your solutions and the model solutions.</t>
  </si>
  <si>
    <t>This activity is intended to be longer, more comprehensive, and more challenging than the real-life scenario demonstration is likely to be. There is no requirement to finish the entire activity in 90 minutes.</t>
  </si>
  <si>
    <t>As you progress through the exercises, you may wish to take personal notes on any techniques that you learn along the way. Time has been made available for you to do this.</t>
  </si>
  <si>
    <t>Part 1: Create the Sales table</t>
  </si>
  <si>
    <t>Import SalesEW and SalesCS</t>
  </si>
  <si>
    <t>In the "data" folder, locate the Excel workbook "sales_all_regions.xlsx".</t>
  </si>
  <si>
    <t>Q1.2</t>
  </si>
  <si>
    <t>Q1.3</t>
  </si>
  <si>
    <t>SalesEW: number of rows</t>
  </si>
  <si>
    <t>SalesCS: number of rows</t>
  </si>
  <si>
    <t>SalesEW: number of blank rows removed</t>
  </si>
  <si>
    <t>SalesCS: number of blank rows removed</t>
  </si>
  <si>
    <t>Note: null counts as blank.</t>
  </si>
  <si>
    <t>Hint 1</t>
  </si>
  <si>
    <t>Hint 2</t>
  </si>
  <si>
    <t>Bob</t>
  </si>
  <si>
    <t>Name</t>
  </si>
  <si>
    <t>Age</t>
  </si>
  <si>
    <t>Aaron</t>
  </si>
  <si>
    <t>Carlos</t>
  </si>
  <si>
    <t>AllNames</t>
  </si>
  <si>
    <t>Diane</t>
  </si>
  <si>
    <t>Emma</t>
  </si>
  <si>
    <t>Fiona</t>
  </si>
  <si>
    <t>E1.4</t>
  </si>
  <si>
    <r>
      <t xml:space="preserve">Example: append </t>
    </r>
    <r>
      <rPr>
        <b/>
        <sz val="11"/>
        <color theme="1"/>
        <rFont val="Calibri"/>
        <family val="2"/>
        <scheme val="minor"/>
      </rPr>
      <t>FemaleNames</t>
    </r>
    <r>
      <rPr>
        <sz val="11"/>
        <color theme="1"/>
        <rFont val="Calibri"/>
        <family val="2"/>
        <scheme val="minor"/>
      </rPr>
      <t xml:space="preserve"> to </t>
    </r>
    <r>
      <rPr>
        <b/>
        <sz val="11"/>
        <color theme="1"/>
        <rFont val="Calibri"/>
        <family val="2"/>
        <scheme val="minor"/>
      </rPr>
      <t>MaleNames</t>
    </r>
    <r>
      <rPr>
        <sz val="11"/>
        <color theme="1"/>
        <rFont val="Calibri"/>
        <family val="2"/>
        <scheme val="minor"/>
      </rPr>
      <t>.</t>
    </r>
  </si>
  <si>
    <r>
      <t xml:space="preserve">Store the output of the append operation as a </t>
    </r>
    <r>
      <rPr>
        <b/>
        <sz val="11"/>
        <color theme="1"/>
        <rFont val="Calibri"/>
        <family val="2"/>
        <scheme val="minor"/>
      </rPr>
      <t>new table</t>
    </r>
    <r>
      <rPr>
        <sz val="11"/>
        <color theme="1"/>
        <rFont val="Calibri"/>
        <family val="2"/>
        <scheme val="minor"/>
      </rPr>
      <t xml:space="preserve">. Name this table </t>
    </r>
    <r>
      <rPr>
        <b/>
        <sz val="11"/>
        <color theme="1"/>
        <rFont val="Calibri"/>
        <family val="2"/>
        <scheme val="minor"/>
      </rPr>
      <t>Sales</t>
    </r>
    <r>
      <rPr>
        <sz val="11"/>
        <color theme="1"/>
        <rFont val="Calibri"/>
        <family val="2"/>
        <scheme val="minor"/>
      </rPr>
      <t>.</t>
    </r>
  </si>
  <si>
    <r>
      <t xml:space="preserve">Remove the blank rows from </t>
    </r>
    <r>
      <rPr>
        <b/>
        <sz val="11"/>
        <color theme="1"/>
        <rFont val="Calibri"/>
        <family val="2"/>
        <scheme val="minor"/>
      </rPr>
      <t>SalesEW</t>
    </r>
    <r>
      <rPr>
        <sz val="11"/>
        <color theme="1"/>
        <rFont val="Calibri"/>
        <family val="2"/>
        <scheme val="minor"/>
      </rPr>
      <t>. How many rows were removed?</t>
    </r>
  </si>
  <si>
    <r>
      <t xml:space="preserve">Remove the blank rows from </t>
    </r>
    <r>
      <rPr>
        <b/>
        <sz val="11"/>
        <color theme="1"/>
        <rFont val="Calibri"/>
        <family val="2"/>
        <scheme val="minor"/>
      </rPr>
      <t>SalesCS</t>
    </r>
    <r>
      <rPr>
        <sz val="11"/>
        <color theme="1"/>
        <rFont val="Calibri"/>
        <family val="2"/>
        <scheme val="minor"/>
      </rPr>
      <t>. How many rows were removed?</t>
    </r>
  </si>
  <si>
    <r>
      <t xml:space="preserve">How many rows are in </t>
    </r>
    <r>
      <rPr>
        <b/>
        <sz val="11"/>
        <color theme="1"/>
        <rFont val="Calibri"/>
        <family val="2"/>
        <scheme val="minor"/>
      </rPr>
      <t>SalesEW</t>
    </r>
    <r>
      <rPr>
        <sz val="11"/>
        <color theme="1"/>
        <rFont val="Calibri"/>
        <family val="2"/>
        <scheme val="minor"/>
      </rPr>
      <t xml:space="preserve">? How many rows are in </t>
    </r>
    <r>
      <rPr>
        <b/>
        <sz val="11"/>
        <color theme="1"/>
        <rFont val="Calibri"/>
        <family val="2"/>
        <scheme val="minor"/>
      </rPr>
      <t>SalesCS</t>
    </r>
    <r>
      <rPr>
        <sz val="11"/>
        <color theme="1"/>
        <rFont val="Calibri"/>
        <family val="2"/>
        <scheme val="minor"/>
      </rPr>
      <t xml:space="preserve">? </t>
    </r>
  </si>
  <si>
    <r>
      <t xml:space="preserve">The workbook contains two tables: </t>
    </r>
    <r>
      <rPr>
        <b/>
        <sz val="11"/>
        <color theme="1"/>
        <rFont val="Calibri"/>
        <family val="2"/>
        <scheme val="minor"/>
      </rPr>
      <t>tblSalesEastWest</t>
    </r>
    <r>
      <rPr>
        <sz val="11"/>
        <color theme="1"/>
        <rFont val="Calibri"/>
        <family val="2"/>
        <scheme val="minor"/>
      </rPr>
      <t xml:space="preserve"> and </t>
    </r>
    <r>
      <rPr>
        <b/>
        <sz val="11"/>
        <color theme="1"/>
        <rFont val="Calibri"/>
        <family val="2"/>
        <scheme val="minor"/>
      </rPr>
      <t>tblSalesCentralSouth</t>
    </r>
    <r>
      <rPr>
        <sz val="11"/>
        <color theme="1"/>
        <rFont val="Calibri"/>
        <family val="2"/>
        <scheme val="minor"/>
      </rPr>
      <t>. Import both tables. Name them "SalesEW" and "SalesCS".</t>
    </r>
  </si>
  <si>
    <t>Part 2: Clean the Sales table</t>
  </si>
  <si>
    <r>
      <t xml:space="preserve">In your project directory, create a folder called "output". Save the </t>
    </r>
    <r>
      <rPr>
        <b/>
        <sz val="11"/>
        <color theme="1"/>
        <rFont val="Calibri"/>
        <family val="2"/>
        <scheme val="minor"/>
      </rPr>
      <t>Sales</t>
    </r>
    <r>
      <rPr>
        <sz val="11"/>
        <color theme="1"/>
        <rFont val="Calibri"/>
        <family val="2"/>
        <scheme val="minor"/>
      </rPr>
      <t xml:space="preserve"> table in CSV format:
&lt;project dir&gt;/output/sales.csv</t>
    </r>
  </si>
  <si>
    <r>
      <t xml:space="preserve">Inspect the </t>
    </r>
    <r>
      <rPr>
        <b/>
        <sz val="11"/>
        <color theme="1"/>
        <rFont val="Calibri"/>
        <family val="2"/>
        <scheme val="minor"/>
      </rPr>
      <t>Sales</t>
    </r>
    <r>
      <rPr>
        <sz val="11"/>
        <color theme="1"/>
        <rFont val="Calibri"/>
        <family val="2"/>
        <scheme val="minor"/>
      </rPr>
      <t xml:space="preserve"> table. (If you are using Power Query, open the Power Query Editor and inspect the </t>
    </r>
    <r>
      <rPr>
        <b/>
        <sz val="11"/>
        <color theme="1"/>
        <rFont val="Calibri"/>
        <family val="2"/>
        <scheme val="minor"/>
      </rPr>
      <t>Sales</t>
    </r>
    <r>
      <rPr>
        <sz val="11"/>
        <color theme="1"/>
        <rFont val="Calibri"/>
        <family val="2"/>
        <scheme val="minor"/>
      </rPr>
      <t xml:space="preserve"> Query.)</t>
    </r>
  </si>
  <si>
    <t>Height</t>
  </si>
  <si>
    <t>Weight</t>
  </si>
  <si>
    <t>null</t>
  </si>
  <si>
    <t>Q1.5</t>
  </si>
  <si>
    <r>
      <t xml:space="preserve">Next, we need to append </t>
    </r>
    <r>
      <rPr>
        <b/>
        <sz val="11"/>
        <color theme="1"/>
        <rFont val="Calibri"/>
        <family val="2"/>
        <scheme val="minor"/>
      </rPr>
      <t>SalesCS</t>
    </r>
    <r>
      <rPr>
        <sz val="11"/>
        <color theme="1"/>
        <rFont val="Calibri"/>
        <family val="2"/>
        <scheme val="minor"/>
      </rPr>
      <t xml:space="preserve"> to </t>
    </r>
    <r>
      <rPr>
        <b/>
        <sz val="11"/>
        <color theme="1"/>
        <rFont val="Calibri"/>
        <family val="2"/>
        <scheme val="minor"/>
      </rPr>
      <t>SalesEW</t>
    </r>
    <r>
      <rPr>
        <sz val="11"/>
        <color theme="1"/>
        <rFont val="Calibri"/>
        <family val="2"/>
        <scheme val="minor"/>
      </rPr>
      <t xml:space="preserve">. This means that we add the rows of </t>
    </r>
    <r>
      <rPr>
        <b/>
        <sz val="11"/>
        <color theme="1"/>
        <rFont val="Calibri"/>
        <family val="2"/>
        <scheme val="minor"/>
      </rPr>
      <t>SalesCS</t>
    </r>
    <r>
      <rPr>
        <sz val="11"/>
        <color theme="1"/>
        <rFont val="Calibri"/>
        <family val="2"/>
        <scheme val="minor"/>
      </rPr>
      <t xml:space="preserve"> to the </t>
    </r>
    <r>
      <rPr>
        <b/>
        <sz val="11"/>
        <color theme="1"/>
        <rFont val="Calibri"/>
        <family val="2"/>
        <scheme val="minor"/>
      </rPr>
      <t>bottom</t>
    </r>
    <r>
      <rPr>
        <sz val="11"/>
        <color theme="1"/>
        <rFont val="Calibri"/>
        <family val="2"/>
        <scheme val="minor"/>
      </rPr>
      <t xml:space="preserve"> of </t>
    </r>
    <r>
      <rPr>
        <b/>
        <sz val="11"/>
        <color theme="1"/>
        <rFont val="Calibri"/>
        <family val="2"/>
        <scheme val="minor"/>
      </rPr>
      <t>SalesEW</t>
    </r>
    <r>
      <rPr>
        <sz val="11"/>
        <color theme="1"/>
        <rFont val="Calibri"/>
        <family val="2"/>
        <scheme val="minor"/>
      </rPr>
      <t>. An example of an append operation is shown below.</t>
    </r>
  </si>
  <si>
    <r>
      <t xml:space="preserve">Which column of </t>
    </r>
    <r>
      <rPr>
        <b/>
        <sz val="11"/>
        <color theme="1"/>
        <rFont val="Calibri"/>
        <family val="2"/>
        <scheme val="minor"/>
      </rPr>
      <t>SalesCS</t>
    </r>
    <r>
      <rPr>
        <sz val="11"/>
        <color theme="1"/>
        <rFont val="Calibri"/>
        <family val="2"/>
        <scheme val="minor"/>
      </rPr>
      <t xml:space="preserve"> does not match with any column of </t>
    </r>
    <r>
      <rPr>
        <b/>
        <sz val="11"/>
        <color theme="1"/>
        <rFont val="Calibri"/>
        <family val="2"/>
        <scheme val="minor"/>
      </rPr>
      <t>SalesEW</t>
    </r>
    <r>
      <rPr>
        <sz val="11"/>
        <color theme="1"/>
        <rFont val="Calibri"/>
        <family val="2"/>
        <scheme val="minor"/>
      </rPr>
      <t>?</t>
    </r>
  </si>
  <si>
    <r>
      <t xml:space="preserve">If your </t>
    </r>
    <r>
      <rPr>
        <b/>
        <sz val="11"/>
        <color theme="1"/>
        <rFont val="Calibri"/>
        <family val="2"/>
        <scheme val="minor"/>
      </rPr>
      <t>Sales</t>
    </r>
    <r>
      <rPr>
        <sz val="11"/>
        <color theme="1"/>
        <rFont val="Calibri"/>
        <family val="2"/>
        <scheme val="minor"/>
      </rPr>
      <t xml:space="preserve"> table contains this column, delete it.</t>
    </r>
  </si>
  <si>
    <t>Unmatched column name</t>
  </si>
  <si>
    <t>E1.6</t>
  </si>
  <si>
    <r>
      <t xml:space="preserve">Verify that </t>
    </r>
    <r>
      <rPr>
        <b/>
        <sz val="11"/>
        <color theme="1"/>
        <rFont val="Calibri"/>
        <family val="2"/>
        <scheme val="minor"/>
      </rPr>
      <t>Sales</t>
    </r>
    <r>
      <rPr>
        <sz val="11"/>
        <color theme="1"/>
        <rFont val="Calibri"/>
        <family val="2"/>
        <scheme val="minor"/>
      </rPr>
      <t xml:space="preserve"> contains 7 columns and 1,898 rows, and that all columns were appended in the correct positions.</t>
    </r>
  </si>
  <si>
    <t>E1.7</t>
  </si>
  <si>
    <t>Append</t>
  </si>
  <si>
    <t>Save</t>
  </si>
  <si>
    <t>Fix numeric types</t>
  </si>
  <si>
    <t>Fix dates</t>
  </si>
  <si>
    <t>Hint 3</t>
  </si>
  <si>
    <t>Standardise categorical strings</t>
  </si>
  <si>
    <t>Verify that the only distinct values in this column are now "First Class", "Second Class", "Standard Class" and "Same Day".</t>
  </si>
  <si>
    <t>Part 3: Analysis</t>
  </si>
  <si>
    <t>Reponse to question</t>
  </si>
  <si>
    <t>Q3.4</t>
  </si>
  <si>
    <t>Units sold</t>
  </si>
  <si>
    <t>Which state has purchased the most units? Which state has purchased the fewest units?</t>
  </si>
  <si>
    <t>Most units</t>
  </si>
  <si>
    <t>Fewest units</t>
  </si>
  <si>
    <t>State</t>
  </si>
  <si>
    <t>Units</t>
  </si>
  <si>
    <t>Discount percentage</t>
  </si>
  <si>
    <t>Shipment mode</t>
  </si>
  <si>
    <t>What are the three most common [DiscountPercent] values?</t>
  </si>
  <si>
    <t>How many units were sold in total (sum of [Quantity])?</t>
  </si>
  <si>
    <t>Ensure that the [Quantity] column is formatted as an integer (whole number).</t>
  </si>
  <si>
    <t>Ensure that the [DiscountPercent] column has been correctly parsed as a numeric percentage (not just a string with "%" at the end).</t>
  </si>
  <si>
    <t>It is important that [Quantity] and [DiscountPercent] are numeric because we will need to use these numbers in calculations later.</t>
  </si>
  <si>
    <t>In the [ShipMode] column, the values "First", "Second" and "Standard" should instead be "First Class", "Second Class" and "Standard Class". Make this correction.</t>
  </si>
  <si>
    <t>How many units were shipped by each [ShipMode]? Plot a suitable chart.</t>
  </si>
  <si>
    <t>The [OrderDate] column contains dates formatted as text. These values needs to be converted to machine-readable dates. Perform this conversion.</t>
  </si>
  <si>
    <t xml:space="preserve">If not all [OrderDate] values were successfully converted to dates, explain what the problem was. Fix the problem. </t>
  </si>
  <si>
    <t>When you are done, verify that 100% of values in the [OrderDate] column have now been successfully converted to dates.</t>
  </si>
  <si>
    <t>Verify that 1,094 units were shipped First Class.</t>
  </si>
  <si>
    <t>ShipMode</t>
  </si>
  <si>
    <t>First Class</t>
  </si>
  <si>
    <t>Same Day</t>
  </si>
  <si>
    <t>Second Class</t>
  </si>
  <si>
    <t>Standard Class</t>
  </si>
  <si>
    <t>How many units were shipped each year? Plot a suitable chart. Briefly describe the trend over time from 2011 to 2014.</t>
  </si>
  <si>
    <t>Trend 2011–2014</t>
  </si>
  <si>
    <t>Q3.5</t>
  </si>
  <si>
    <t>Year</t>
  </si>
  <si>
    <t>DiscountPercent</t>
  </si>
  <si>
    <t>Count</t>
  </si>
  <si>
    <t>Part 4: Clean the Product table</t>
  </si>
  <si>
    <t>In the "data" folder, locate the CSV file "product.csv".</t>
  </si>
  <si>
    <t>Import this file. Name the table "Product".</t>
  </si>
  <si>
    <t>E4.1</t>
  </si>
  <si>
    <t>The [SalePrice] and [CostPrice] columns need to be converted to a numeric type. (If you are using Power Query, Currency is a suitable type.) Perform this conversion.</t>
  </si>
  <si>
    <t>Problem (if any) and solution</t>
  </si>
  <si>
    <t>Remove blank rows</t>
  </si>
  <si>
    <t>Import Product</t>
  </si>
  <si>
    <t xml:space="preserve">If this conversion resulted in an error, explain what the problem was. Fix the problem. </t>
  </si>
  <si>
    <t>E4.2</t>
  </si>
  <si>
    <t>E4.3</t>
  </si>
  <si>
    <t>Create a new column, [Markup], calculated as [SalePrice] – [CostPrice].</t>
  </si>
  <si>
    <t>Round this column to 2 decimal places to eliminate minor rounding errors. Convert this column to an appropriate type.</t>
  </si>
  <si>
    <t>A note on rounding errors</t>
  </si>
  <si>
    <t>Small rounding errors often occur when performing mathematical operations between floating-point numbers.</t>
  </si>
  <si>
    <t>We have seen this with the [Markup] column.</t>
  </si>
  <si>
    <t>After rounding</t>
  </si>
  <si>
    <t>Before rounding</t>
  </si>
  <si>
    <t>Even simple arithmetic with an obvious exact solution can produce a rounding error when calculated by a computer.</t>
  </si>
  <si>
    <t>For example, according to Excel, the calculation 10.2 – 10.1 does not yield 0.1, but 0.0999999999999996.</t>
  </si>
  <si>
    <t>https://en.wikipedia.org/wiki/Floating-point_arithmetic</t>
  </si>
  <si>
    <r>
      <t>A number such as 1/3 cannot be represented exactly using 64 bits. In decimal, 1/3 = 0.3333333333…, and in binary it is 0.0101010101…</t>
    </r>
    <r>
      <rPr>
        <vertAlign val="subscript"/>
        <sz val="11"/>
        <color theme="1"/>
        <rFont val="Calibri"/>
        <family val="2"/>
        <scheme val="minor"/>
      </rPr>
      <t>2</t>
    </r>
    <r>
      <rPr>
        <sz val="11"/>
        <color theme="1"/>
        <rFont val="Calibri"/>
        <family val="2"/>
        <scheme val="minor"/>
      </rPr>
      <t xml:space="preserve">. Both representations would require infinite bits to represent exactly. But what about 10.2 and 10.1? It turns out that the number 0.1 actually requires </t>
    </r>
    <r>
      <rPr>
        <b/>
        <sz val="11"/>
        <color theme="1"/>
        <rFont val="Calibri"/>
        <family val="2"/>
        <scheme val="minor"/>
      </rPr>
      <t>infinite</t>
    </r>
    <r>
      <rPr>
        <sz val="11"/>
        <color theme="1"/>
        <rFont val="Calibri"/>
        <family val="2"/>
        <scheme val="minor"/>
      </rPr>
      <t xml:space="preserve"> bits to represent in binary: 0.0001100110011001100...</t>
    </r>
    <r>
      <rPr>
        <vertAlign val="subscript"/>
        <sz val="11"/>
        <color theme="1"/>
        <rFont val="Calibri"/>
        <family val="2"/>
        <scheme val="minor"/>
      </rPr>
      <t>2</t>
    </r>
    <r>
      <rPr>
        <sz val="11"/>
        <color theme="1"/>
        <rFont val="Calibri"/>
        <family val="2"/>
        <scheme val="minor"/>
      </rPr>
      <t>. So do 0.2, 0.3, and 0.4. However, the number 0.5 can be represented exactly (0.1</t>
    </r>
    <r>
      <rPr>
        <vertAlign val="subscript"/>
        <sz val="11"/>
        <color theme="1"/>
        <rFont val="Calibri"/>
        <family val="2"/>
        <scheme val="minor"/>
      </rPr>
      <t>2</t>
    </r>
    <r>
      <rPr>
        <sz val="11"/>
        <color theme="1"/>
        <rFont val="Calibri"/>
        <family val="2"/>
        <scheme val="minor"/>
      </rPr>
      <t>). Perhaps you can guess why.</t>
    </r>
  </si>
  <si>
    <t>This type of rounding error occurs because a computer can store a floating-point number to only a finite degree of precision. Excel uses 64-bit floating-point numbers, which results in 15 decimal digits. If a floating-point number cannot be represented exactly using 64 bits, Excel rounds that number off.</t>
  </si>
  <si>
    <t>Some rounding errors are so small that they fail to shift the 15th decimal digit. See 0.49, 0.5 and 0.51 in the "Before rounding" screenshot, or try 0.2 – 0.1 in Excel. More typically, you may see a shift in the 15th, 14th, and sometimes 13th digits.</t>
  </si>
  <si>
    <t>⚠️ Remember to look out for rounding errors. Handle them by rounding or by building in a tolerance threshold.</t>
  </si>
  <si>
    <t>From now on, you should fix all rounding errors as they occur.</t>
  </si>
  <si>
    <t>Further information:</t>
  </si>
  <si>
    <t>Create a new column, [MarkupPercent], which expresses [Markup] as a fraction of [CostPrice].</t>
  </si>
  <si>
    <t>•  A [MarkupPercent] of 0 (or 0%) means that [SalePrice] is equal to [CostPrice].</t>
  </si>
  <si>
    <t>•  A [MarkupPercent] of 1 (or 100%) means that [SalePrice] is double [CostPrice].</t>
  </si>
  <si>
    <t>Create [Markup] column</t>
  </si>
  <si>
    <t>Create [MarkupPercent] column</t>
  </si>
  <si>
    <t>Convert [MarkupPercent] to a suitable numeric type. It is not necessary to round this column.</t>
  </si>
  <si>
    <t>E4.4</t>
  </si>
  <si>
    <t>Part 5: Analysis</t>
  </si>
  <si>
    <t>[Markup]</t>
  </si>
  <si>
    <t>Mean</t>
  </si>
  <si>
    <t>Median</t>
  </si>
  <si>
    <t>Mode</t>
  </si>
  <si>
    <t>What are the mean, median and mode of [Markup] (in $)?</t>
  </si>
  <si>
    <t>Q5.2</t>
  </si>
  <si>
    <t>Q5.3</t>
  </si>
  <si>
    <t>Q5.4</t>
  </si>
  <si>
    <t>[ProductID]</t>
  </si>
  <si>
    <r>
      <t xml:space="preserve">N.B. There are 1,830 products in the </t>
    </r>
    <r>
      <rPr>
        <b/>
        <sz val="11"/>
        <color theme="1"/>
        <rFont val="Calibri"/>
        <family val="2"/>
        <scheme val="minor"/>
      </rPr>
      <t>Product</t>
    </r>
    <r>
      <rPr>
        <sz val="11"/>
        <color theme="1"/>
        <rFont val="Calibri"/>
        <family val="2"/>
        <scheme val="minor"/>
      </rPr>
      <t xml:space="preserve"> table. Avoid creating a PivotTable with [ProductID] along the Rows.</t>
    </r>
  </si>
  <si>
    <t>Which product has the highest [MarkupPercent]? (There are no ties.)</t>
  </si>
  <si>
    <t>Find the mean [Markup] and mean [MarkupPercent] by [Category]. Plot one or more suitable charts.</t>
  </si>
  <si>
    <t>Which [Category] has the highest mean [Markup]? Which [Category] has the highest mean [MarkupPercent]?</t>
  </si>
  <si>
    <t>Highest mean [Markup]</t>
  </si>
  <si>
    <t>[MarkupPercent]</t>
  </si>
  <si>
    <t>[State]</t>
  </si>
  <si>
    <t>Highest mean [MarkupPercent]</t>
  </si>
  <si>
    <t>Category</t>
  </si>
  <si>
    <t>What is the lowest [Markup], and how many products share it?</t>
  </si>
  <si>
    <t>Number of products</t>
  </si>
  <si>
    <t>Part 6: Merge Sales to Product</t>
  </si>
  <si>
    <t>E6.1</t>
  </si>
  <si>
    <t>Merge tables</t>
  </si>
  <si>
    <t>Sales and costs</t>
  </si>
  <si>
    <t>E6.2</t>
  </si>
  <si>
    <t>E6.3</t>
  </si>
  <si>
    <t>E6.4</t>
  </si>
  <si>
    <t>Create a new column, [Sales], calculated as [UnitDiscountedSalePrice] × [Quantity].</t>
  </si>
  <si>
    <t>E6.5</t>
  </si>
  <si>
    <t>E6.6</t>
  </si>
  <si>
    <r>
      <t xml:space="preserve">In the </t>
    </r>
    <r>
      <rPr>
        <b/>
        <sz val="11"/>
        <color theme="1"/>
        <rFont val="Calibri"/>
        <family val="2"/>
        <scheme val="minor"/>
      </rPr>
      <t>SalesDetails</t>
    </r>
    <r>
      <rPr>
        <sz val="11"/>
        <color theme="1"/>
        <rFont val="Calibri"/>
        <family val="2"/>
        <scheme val="minor"/>
      </rPr>
      <t xml:space="preserve"> table, rename the [SalePrice] column "UnitFullSalePrice". This is the undiscounted sale price of a single unit of the product.</t>
    </r>
  </si>
  <si>
    <t>Rename the [CostPrice] column "UnitCostPrice".</t>
  </si>
  <si>
    <t>Create a new column, [Profit], calculated as [Sales] – [TotalCost].</t>
  </si>
  <si>
    <t>E6.7</t>
  </si>
  <si>
    <t>Create a new column, [ProfitPercent], calculated as [ProfitPerItem] / [UnitCostPrice].</t>
  </si>
  <si>
    <t>Profit</t>
  </si>
  <si>
    <t>Part 7: Analysis</t>
  </si>
  <si>
    <t>Calculate the sum of [TotalCost], the sum of [Sales], and the sum of [Profit].</t>
  </si>
  <si>
    <t>Sum of [TotalCost]</t>
  </si>
  <si>
    <t>Sum of [Sales]</t>
  </si>
  <si>
    <t>Sum of [Profit]</t>
  </si>
  <si>
    <r>
      <t xml:space="preserve">Why does this matter? Because even tiny rounding errors can cause unexpected behaviour. For example, if your end-point assessor asked you to filter </t>
    </r>
    <r>
      <rPr>
        <b/>
        <sz val="11"/>
        <color theme="1"/>
        <rFont val="Calibri"/>
        <family val="2"/>
        <scheme val="minor"/>
      </rPr>
      <t>Product</t>
    </r>
    <r>
      <rPr>
        <sz val="11"/>
        <color theme="1"/>
        <rFont val="Calibri"/>
        <family val="2"/>
        <scheme val="minor"/>
      </rPr>
      <t xml:space="preserve"> by [Markup] ≤ 0.5, this filter would actually omit the third value of 0.500000000000004, since it is not technically less than or equal to 0.5 anymore due to rounding errors. This is not what we wanted!</t>
    </r>
  </si>
  <si>
    <r>
      <t xml:space="preserve">Verify that (sum of [Profit]) = (sum of [Sales]) – (sum of [TotalCost]) </t>
    </r>
    <r>
      <rPr>
        <b/>
        <sz val="11"/>
        <color theme="1"/>
        <rFont val="Calibri"/>
        <family val="2"/>
        <scheme val="minor"/>
      </rPr>
      <t>exactly</t>
    </r>
    <r>
      <rPr>
        <sz val="11"/>
        <color theme="1"/>
        <rFont val="Calibri"/>
        <family val="2"/>
        <scheme val="minor"/>
      </rPr>
      <t>.</t>
    </r>
  </si>
  <si>
    <t>In what month of the year is the mean [DiscountPercent] highest? In what month of the year is the mean [ProfitPercent] highest?</t>
  </si>
  <si>
    <t>(You do not need to weight by [Quantity].)</t>
  </si>
  <si>
    <t>Combine month data from all available years. (You do not need to weight by [Quantity].)</t>
  </si>
  <si>
    <t>Highest mean [DiscountPercent]</t>
  </si>
  <si>
    <t>Month</t>
  </si>
  <si>
    <t>[DiscountPercent]</t>
  </si>
  <si>
    <t>[ProfitPercent]</t>
  </si>
  <si>
    <t>If you were to plot the mean [ProfitPercent] vs. [DiscountPercent], what do you predict the trend would look like?</t>
  </si>
  <si>
    <t>Trend</t>
  </si>
  <si>
    <t>Calculate the mean [ProfitPercent] for each distinct value of [DiscountPercent]. Plot a suitable chart. Briefly describe the trend.</t>
  </si>
  <si>
    <t>Q7.5</t>
  </si>
  <si>
    <t>Q7.6</t>
  </si>
  <si>
    <t>(N.B. This is not the same calculation as taking the mean of [ProfitPerItem].)</t>
  </si>
  <si>
    <t>Mean profit per item</t>
  </si>
  <si>
    <t>Sum of [Sales] – Sum of [TotalCost]</t>
  </si>
  <si>
    <t>In the "data" folder, locate the tab-delimited text file "state_region.txt".</t>
  </si>
  <si>
    <t>Import this file. Name the table "StateRegion".</t>
  </si>
  <si>
    <t>Import StateRegion</t>
  </si>
  <si>
    <t>Clean StateRegion</t>
  </si>
  <si>
    <t>E8.1</t>
  </si>
  <si>
    <t>E8.2</t>
  </si>
  <si>
    <t>Find and correct the misspelling in the [Region] column.</t>
  </si>
  <si>
    <t>Verify that the only distinct regions are now "East", "West", "Central" and "South".</t>
  </si>
  <si>
    <t>Merge SalesDetails to StateRegion</t>
  </si>
  <si>
    <t>E8.3</t>
  </si>
  <si>
    <r>
      <t xml:space="preserve">Modify the </t>
    </r>
    <r>
      <rPr>
        <b/>
        <sz val="11"/>
        <color theme="1"/>
        <rFont val="Calibri"/>
        <family val="2"/>
        <scheme val="minor"/>
      </rPr>
      <t>SalesDetails</t>
    </r>
    <r>
      <rPr>
        <sz val="11"/>
        <color theme="1"/>
        <rFont val="Calibri"/>
        <family val="2"/>
        <scheme val="minor"/>
      </rPr>
      <t xml:space="preserve"> table by merging the </t>
    </r>
    <r>
      <rPr>
        <b/>
        <sz val="11"/>
        <color theme="1"/>
        <rFont val="Calibri"/>
        <family val="2"/>
        <scheme val="minor"/>
      </rPr>
      <t>StateRegion</t>
    </r>
    <r>
      <rPr>
        <sz val="11"/>
        <color theme="1"/>
        <rFont val="Calibri"/>
        <family val="2"/>
        <scheme val="minor"/>
      </rPr>
      <t xml:space="preserve"> table to it on a suitable join column. Use a left join. Bring in only the [Region] column from the </t>
    </r>
    <r>
      <rPr>
        <b/>
        <sz val="11"/>
        <color theme="1"/>
        <rFont val="Calibri"/>
        <family val="2"/>
        <scheme val="minor"/>
      </rPr>
      <t>StateRegion</t>
    </r>
    <r>
      <rPr>
        <sz val="11"/>
        <color theme="1"/>
        <rFont val="Calibri"/>
        <family val="2"/>
        <scheme val="minor"/>
      </rPr>
      <t xml:space="preserve"> table.</t>
    </r>
  </si>
  <si>
    <t>Part 8: Add [Region] column to SalesDetails</t>
  </si>
  <si>
    <t>Part 9: Analysis</t>
  </si>
  <si>
    <t>Q9.1</t>
  </si>
  <si>
    <t>Calculate the total [Profit] by [Region] and [Category]. For which combination of {[Region], [Category]} is total [Profit] highest? For which {[Region], [Category]} is total [Profit] negative?</t>
  </si>
  <si>
    <t>Highest [Profit]</t>
  </si>
  <si>
    <t>Negative [Profit]</t>
  </si>
  <si>
    <t>Region</t>
  </si>
  <si>
    <t>[Category]</t>
  </si>
  <si>
    <t>[Region]</t>
  </si>
  <si>
    <t>Q9.2</t>
  </si>
  <si>
    <t>In which [Region] is the percentage of items delivered First Class higher than the percentage of items delivered Second Class?</t>
  </si>
  <si>
    <t>Calculate the sum of [Quantity] by [Region] and [ShipMode]. Display the sums as a percentage of the total [Quantity] for each [Region].</t>
  </si>
  <si>
    <t>% First Class</t>
  </si>
  <si>
    <t>% Second Class</t>
  </si>
  <si>
    <r>
      <t xml:space="preserve">The </t>
    </r>
    <r>
      <rPr>
        <b/>
        <sz val="11"/>
        <color theme="1"/>
        <rFont val="Calibri"/>
        <family val="2"/>
        <scheme val="minor"/>
      </rPr>
      <t>SalesDetails</t>
    </r>
    <r>
      <rPr>
        <sz val="11"/>
        <color theme="1"/>
        <rFont val="Calibri"/>
        <family val="2"/>
        <scheme val="minor"/>
      </rPr>
      <t xml:space="preserve"> table is now complete.</t>
    </r>
  </si>
  <si>
    <r>
      <t xml:space="preserve">Save the </t>
    </r>
    <r>
      <rPr>
        <b/>
        <sz val="11"/>
        <color theme="1"/>
        <rFont val="Calibri"/>
        <family val="2"/>
        <scheme val="minor"/>
      </rPr>
      <t>SalesDetails</t>
    </r>
    <r>
      <rPr>
        <sz val="11"/>
        <color theme="1"/>
        <rFont val="Calibri"/>
        <family val="2"/>
        <scheme val="minor"/>
      </rPr>
      <t xml:space="preserve"> table in the following formats:</t>
    </r>
  </si>
  <si>
    <t>&lt;project dir&gt;/output/sales_details.csv</t>
  </si>
  <si>
    <t>•  CSV</t>
  </si>
  <si>
    <t>•  Text (tab-delimited)</t>
  </si>
  <si>
    <t>&lt;project dir&gt;/output/sales_details.txt</t>
  </si>
  <si>
    <t>•  Excel workbook</t>
  </si>
  <si>
    <t>&lt;project dir&gt;/output/sales_details.xlsx</t>
  </si>
  <si>
    <t>E8.4</t>
  </si>
  <si>
    <t>•  sales_all_regions.xlsx</t>
  </si>
  <si>
    <t>•  product.csv</t>
  </si>
  <si>
    <t>•  state_region.txt</t>
  </si>
  <si>
    <t>Some questions require space for calculation cells or PivotTables. Make space by inserting blank rows as needed. Use of the space at the bottom of the worksheets for overflow.</t>
  </si>
  <si>
    <t>Spend a few minutes browsing the "KSBs" tab to gain an overview of the skills and knowledge that the assessor will be looking for.</t>
  </si>
  <si>
    <t>◀  Intro</t>
  </si>
  <si>
    <t>Part 2  ▶</t>
  </si>
  <si>
    <t>◀  Part 1</t>
  </si>
  <si>
    <t>Part 3  ▶</t>
  </si>
  <si>
    <t>◀  Part 2</t>
  </si>
  <si>
    <t>Part 4  ▶</t>
  </si>
  <si>
    <t>◀  Part 3</t>
  </si>
  <si>
    <t>Part 5  ▶</t>
  </si>
  <si>
    <t>◀  Part 4</t>
  </si>
  <si>
    <t>Part 6  ▶</t>
  </si>
  <si>
    <t>◀  Part 5</t>
  </si>
  <si>
    <t>Part 7  ▶</t>
  </si>
  <si>
    <t>◀  Part 6</t>
  </si>
  <si>
    <t>Part 8  ▶</t>
  </si>
  <si>
    <t>◀  Part 7</t>
  </si>
  <si>
    <t>Part 9  ▶</t>
  </si>
  <si>
    <t>◀  Part 8</t>
  </si>
  <si>
    <t>Challenge 1  ▶</t>
  </si>
  <si>
    <t>Retain all calculations to show your tutor.</t>
  </si>
  <si>
    <r>
      <t xml:space="preserve">Create a new table by merging the </t>
    </r>
    <r>
      <rPr>
        <b/>
        <sz val="11"/>
        <color theme="1"/>
        <rFont val="Calibri"/>
        <family val="2"/>
        <scheme val="minor"/>
      </rPr>
      <t>Sales</t>
    </r>
    <r>
      <rPr>
        <sz val="11"/>
        <color theme="1"/>
        <rFont val="Calibri"/>
        <family val="2"/>
        <scheme val="minor"/>
      </rPr>
      <t xml:space="preserve"> table to the </t>
    </r>
    <r>
      <rPr>
        <b/>
        <sz val="11"/>
        <color theme="1"/>
        <rFont val="Calibri"/>
        <family val="2"/>
        <scheme val="minor"/>
      </rPr>
      <t>Product</t>
    </r>
    <r>
      <rPr>
        <sz val="11"/>
        <color theme="1"/>
        <rFont val="Calibri"/>
        <family val="2"/>
        <scheme val="minor"/>
      </rPr>
      <t xml:space="preserve"> table on an appropriate join column. Use a left join, with </t>
    </r>
    <r>
      <rPr>
        <b/>
        <sz val="11"/>
        <color theme="1"/>
        <rFont val="Calibri"/>
        <family val="2"/>
        <scheme val="minor"/>
      </rPr>
      <t>Sales</t>
    </r>
    <r>
      <rPr>
        <sz val="11"/>
        <color theme="1"/>
        <rFont val="Calibri"/>
        <family val="2"/>
        <scheme val="minor"/>
      </rPr>
      <t xml:space="preserve"> as the left table. Name the new table "SalesDetails". Bring in all columns from the </t>
    </r>
    <r>
      <rPr>
        <b/>
        <sz val="11"/>
        <color theme="1"/>
        <rFont val="Calibri"/>
        <family val="2"/>
        <scheme val="minor"/>
      </rPr>
      <t>Product</t>
    </r>
    <r>
      <rPr>
        <sz val="11"/>
        <color theme="1"/>
        <rFont val="Calibri"/>
        <family val="2"/>
        <scheme val="minor"/>
      </rPr>
      <t xml:space="preserve"> table except the join column.</t>
    </r>
  </si>
  <si>
    <t>Create a new column, [ProfitPerItem], and populate it appropriately. Round this column as you deem appropriate.</t>
  </si>
  <si>
    <t>I've found a mistake in the workbook</t>
  </si>
  <si>
    <t>Please report mistakes and typos to Andrew Alvin at andrew.alvin@qa.com. Thanks!</t>
  </si>
  <si>
    <t>I accidentally modified or deleted one of the files in the "data" folder</t>
  </si>
  <si>
    <t>To help prevent this happening again:</t>
  </si>
  <si>
    <t>This is easily done. Download a fresh copy of the file from the link provided by your tutor.</t>
  </si>
  <si>
    <t>•  Avoid opening any of the source files in Excel directly. Instead, it is recommended to import a copy of the file contents using Power Query. Power Query does not modify the source file.</t>
  </si>
  <si>
    <r>
      <t xml:space="preserve">•  If you are using a Windows machine, you can optionally right-click a source file &gt; </t>
    </r>
    <r>
      <rPr>
        <b/>
        <sz val="11"/>
        <color theme="1"/>
        <rFont val="Calibri"/>
        <family val="2"/>
        <scheme val="minor"/>
      </rPr>
      <t>Properties</t>
    </r>
    <r>
      <rPr>
        <sz val="11"/>
        <color theme="1"/>
        <rFont val="Calibri"/>
        <family val="2"/>
        <scheme val="minor"/>
      </rPr>
      <t xml:space="preserve"> &gt; check the </t>
    </r>
    <r>
      <rPr>
        <b/>
        <sz val="11"/>
        <color theme="1"/>
        <rFont val="Calibri"/>
        <family val="2"/>
        <scheme val="minor"/>
      </rPr>
      <t>Read-only</t>
    </r>
    <r>
      <rPr>
        <sz val="11"/>
        <color theme="1"/>
        <rFont val="Calibri"/>
        <family val="2"/>
        <scheme val="minor"/>
      </rPr>
      <t xml:space="preserve"> attribute.</t>
    </r>
  </si>
  <si>
    <t>I accidentally saved my Excel workbook as a CSV</t>
  </si>
  <si>
    <t>An Excel workbook can contain formulas, formatting, multiple worksheets, Queries, macros, and so on. A CSV file can contain only a single page of raw text.</t>
  </si>
  <si>
    <r>
      <rPr>
        <b/>
        <sz val="11"/>
        <color theme="1"/>
        <rFont val="Calibri"/>
        <family val="2"/>
        <scheme val="minor"/>
      </rPr>
      <t>If your Excel workbook is still open:</t>
    </r>
    <r>
      <rPr>
        <sz val="11"/>
        <color theme="1"/>
        <rFont val="Calibri"/>
        <family val="2"/>
        <scheme val="minor"/>
      </rPr>
      <t xml:space="preserve"> good news! Your work is safe. Just re-save the workbook in XLSX format.</t>
    </r>
  </si>
  <si>
    <r>
      <rPr>
        <b/>
        <sz val="11"/>
        <color theme="1"/>
        <rFont val="Calibri"/>
        <family val="2"/>
        <scheme val="minor"/>
      </rPr>
      <t>If you have closed the Excel workbook</t>
    </r>
    <r>
      <rPr>
        <sz val="11"/>
        <color theme="1"/>
        <rFont val="Calibri"/>
        <family val="2"/>
        <scheme val="minor"/>
      </rPr>
      <t>: unfortunately, your work may be lost since the last time you saved as XLSX. However, there is one thing you can try. If you are on a Windows machine, you can check to see if Excel made a backup. Navigate to C:\Users\%your user name%\AppData\Roaming\Microsoft\Excel (shortcut %AppData%\Microsoft\Excel\) or equivalent location and inspect the most recent backup files.</t>
    </r>
  </si>
  <si>
    <r>
      <t xml:space="preserve">•  To safely export a worksheet as CSV, right-click the name of the worksheet and go to </t>
    </r>
    <r>
      <rPr>
        <b/>
        <sz val="11"/>
        <color theme="1"/>
        <rFont val="Calibri"/>
        <family val="2"/>
        <scheme val="minor"/>
      </rPr>
      <t>Move or Copy...</t>
    </r>
    <r>
      <rPr>
        <sz val="11"/>
        <color theme="1"/>
        <rFont val="Calibri"/>
        <family val="2"/>
        <scheme val="minor"/>
      </rPr>
      <t xml:space="preserve"> &gt; </t>
    </r>
    <r>
      <rPr>
        <b/>
        <sz val="11"/>
        <color theme="1"/>
        <rFont val="Calibri"/>
        <family val="2"/>
        <scheme val="minor"/>
      </rPr>
      <t>To book</t>
    </r>
    <r>
      <rPr>
        <sz val="11"/>
        <color theme="1"/>
        <rFont val="Calibri"/>
        <family val="2"/>
        <scheme val="minor"/>
      </rPr>
      <t xml:space="preserve"> &gt; </t>
    </r>
    <r>
      <rPr>
        <b/>
        <sz val="11"/>
        <color theme="1"/>
        <rFont val="Calibri"/>
        <family val="2"/>
        <scheme val="minor"/>
      </rPr>
      <t>(new book)</t>
    </r>
    <r>
      <rPr>
        <sz val="11"/>
        <color theme="1"/>
        <rFont val="Calibri"/>
        <family val="2"/>
        <scheme val="minor"/>
      </rPr>
      <t>. Ensure that Create a copy is checked. You can safely save the new workbook as a CSV.</t>
    </r>
  </si>
  <si>
    <t>•  If you save your project Excel workbook as CSV, re-save as XLSX immediately afterwards.</t>
  </si>
  <si>
    <t>•  Save regularly and create backups.</t>
  </si>
  <si>
    <t>Challenge save exercise: split to EW and CS and save these as tables in the same XLSX.</t>
  </si>
  <si>
    <t>Retain all necessary evidence to show how you solved each question. Your tutor may ask you questions about your methodology and reasoning.</t>
  </si>
  <si>
    <t>Your tutor is available for support at any time.</t>
  </si>
  <si>
    <t>⚠️ Reminder: You may need to refresh the source data for your PivotTables from time to time—for example, when you update a Query. The easiest way to do this is to perform a global refresh by going to Ribbon &gt; Data &gt; Queries &amp; Connections group &gt; Refresh All. This will refresh all PivotTables and Queries.</t>
  </si>
  <si>
    <t>Profit validation</t>
  </si>
  <si>
    <t>Annual trends</t>
  </si>
  <si>
    <t>Profit vs. discount</t>
  </si>
  <si>
    <t>Profit by state</t>
  </si>
  <si>
    <t>QC1.1 †</t>
  </si>
  <si>
    <t>Don't worry.</t>
  </si>
  <si>
    <t>For each [State], calculate the sum of [Quantity] and the sum of [Profit]. How many [State]s have a negative sum of [Profit]?</t>
  </si>
  <si>
    <t>Number of [State]s</t>
  </si>
  <si>
    <t>For each [State], calculate (sum of [Profit]) / (sum of [Quantity]) to obtain the mean profit per item for that [State]. What are the top 3 [State]s by mean profit per item?</t>
  </si>
  <si>
    <t>[UnitFullSalePrice]</t>
  </si>
  <si>
    <t>Challenge 1</t>
  </si>
  <si>
    <t>Profit by region and category</t>
  </si>
  <si>
    <t>Markup and markup %</t>
  </si>
  <si>
    <t>Units sold by region and shipment mode</t>
  </si>
  <si>
    <t>Navigating subsets</t>
  </si>
  <si>
    <t>Challenge question: normalise (K9). Idea: create an Orders table using Group By--unique order id, sum sales, sum costs, etc.</t>
  </si>
  <si>
    <t>Exercise: identify and remove the outlier without strong hints or guidance. Or other data quality issues</t>
  </si>
  <si>
    <t>Which product has the highest [Markup]? (There are no ties.) Apply appropriate number formatting.</t>
  </si>
  <si>
    <t>Create a new column, [TotalCost], calculated as [UnitCostPrice] × [Quantity]. Round and format this column as you deem appropriate. (Continue to do this for all columns you create.)</t>
  </si>
  <si>
    <t>Highest mean [ProfitPercent]</t>
  </si>
  <si>
    <t>Find the product with the highest [UnitFullSalePrice] within the [Category] with the lowest sum of [Sales] within the [Region] with the second highest number of [State]s.</t>
  </si>
  <si>
    <t>[Region] with the second highest number of [State]s</t>
  </si>
  <si>
    <r>
      <rPr>
        <b/>
        <sz val="11"/>
        <color rgb="FFBC8F10"/>
        <rFont val="Calibri"/>
        <family val="2"/>
        <scheme val="minor"/>
      </rPr>
      <t>[Category] with the lowest sum of [Sales]</t>
    </r>
    <r>
      <rPr>
        <b/>
        <sz val="11"/>
        <color theme="1"/>
        <rFont val="Calibri"/>
        <family val="2"/>
        <scheme val="minor"/>
      </rPr>
      <t xml:space="preserve"> within the </t>
    </r>
    <r>
      <rPr>
        <b/>
        <sz val="11"/>
        <color rgb="FF2F7F29"/>
        <rFont val="Calibri"/>
        <family val="2"/>
        <scheme val="minor"/>
      </rPr>
      <t>[Region] with the second highest number of [State]s</t>
    </r>
  </si>
  <si>
    <r>
      <rPr>
        <b/>
        <sz val="11"/>
        <color rgb="FF2D4B7B"/>
        <rFont val="Calibri"/>
        <family val="2"/>
        <scheme val="minor"/>
      </rPr>
      <t>Product with the highest [UnitFullSalePrice]</t>
    </r>
    <r>
      <rPr>
        <b/>
        <sz val="11"/>
        <color theme="1"/>
        <rFont val="Calibri"/>
        <family val="2"/>
        <scheme val="minor"/>
      </rPr>
      <t xml:space="preserve"> within the </t>
    </r>
    <r>
      <rPr>
        <b/>
        <sz val="11"/>
        <color rgb="FFBC8F10"/>
        <rFont val="Calibri"/>
        <family val="2"/>
        <scheme val="minor"/>
      </rPr>
      <t xml:space="preserve">[Category] with the lowest sum of [Sales]
</t>
    </r>
    <r>
      <rPr>
        <b/>
        <sz val="11"/>
        <color theme="1"/>
        <rFont val="Calibri"/>
        <family val="2"/>
        <scheme val="minor"/>
      </rPr>
      <t xml:space="preserve">within the </t>
    </r>
    <r>
      <rPr>
        <b/>
        <sz val="11"/>
        <color rgb="FF2F7F29"/>
        <rFont val="Calibri"/>
        <family val="2"/>
        <scheme val="minor"/>
      </rPr>
      <t>[Region] with the second highest number of [State]s</t>
    </r>
  </si>
  <si>
    <t>We will solve this step by step. First, find the [Region] with the second highest number of [State]s. Then, filtering to this [Region], find the [Category] with the lowest sum of [Sales]. And so on. Use the result of the previous calculation as input to the next.</t>
  </si>
  <si>
    <t>Q5.5</t>
  </si>
  <si>
    <r>
      <t xml:space="preserve">Verify that </t>
    </r>
    <r>
      <rPr>
        <b/>
        <sz val="11"/>
        <color theme="1"/>
        <rFont val="Calibri"/>
        <family val="2"/>
        <scheme val="minor"/>
      </rPr>
      <t>SalesDetails</t>
    </r>
    <r>
      <rPr>
        <sz val="11"/>
        <color theme="1"/>
        <rFont val="Calibri"/>
        <family val="2"/>
        <scheme val="minor"/>
      </rPr>
      <t xml:space="preserve"> contains 13 columns and 1,898 rows.</t>
    </r>
  </si>
  <si>
    <t>Format your answers in the Currency format with currency symbol "$ English (United States)".</t>
  </si>
  <si>
    <t>MaleNames</t>
  </si>
  <si>
    <t>FemaleNames</t>
  </si>
  <si>
    <r>
      <t xml:space="preserve">Create a new column, [UnitDiscountedSalePrice], and populate it with the discounted sale price of a single unit of the product. </t>
    </r>
    <r>
      <rPr>
        <b/>
        <sz val="11"/>
        <color theme="1"/>
        <rFont val="Calibri"/>
        <family val="2"/>
        <scheme val="minor"/>
      </rPr>
      <t>Round this column to 2 decimal places to prevent invalid unit prices.</t>
    </r>
    <r>
      <rPr>
        <sz val="11"/>
        <color theme="1"/>
        <rFont val="Calibri"/>
        <family val="2"/>
        <scheme val="minor"/>
      </rPr>
      <t xml:space="preserve">  [UnitFullSalePrice]-([UnitFullSalePrice]*[DiscountPercent])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</si>
</sst>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quot;Difficulty:&quot;\ \ @"/>
    <numFmt numFmtId="165" formatCode=";;;"/>
    <numFmt numFmtId="166" formatCode="0.0000000000000000"/>
    <numFmt numFmtId="167" formatCode="0.000%"/>
    <numFmt numFmtId="168" formatCode="[$$-409]#,##0.000"/>
    <numFmt numFmtId="169" formatCode="[$$-409]#,##0.00"/>
  </numFmts>
  <fonts count="44" x14ac:knownFonts="1">
    <font>
      <sz val="11"/>
      <color theme="1"/>
      <name val="Calibri"/>
      <family val="2"/>
      <scheme val="minor"/>
    </font>
    <font>
      <b/>
      <sz val="11"/>
      <color theme="1"/>
      <name val="Calibri"/>
      <family val="2"/>
      <scheme val="minor"/>
    </font>
    <font>
      <b/>
      <sz val="16"/>
      <color rgb="FFC9FFFF"/>
      <name val="Calibri"/>
      <family val="2"/>
      <scheme val="minor"/>
    </font>
    <font>
      <b/>
      <sz val="16"/>
      <color rgb="FF004050"/>
      <name val="Calibri"/>
      <family val="2"/>
      <scheme val="minor"/>
    </font>
    <font>
      <b/>
      <sz val="12"/>
      <color theme="1"/>
      <name val="Calibri"/>
      <family val="2"/>
      <scheme val="minor"/>
    </font>
    <font>
      <i/>
      <sz val="11"/>
      <color theme="1" tint="0.499984740745262"/>
      <name val="Calibri"/>
      <family val="2"/>
      <scheme val="minor"/>
    </font>
    <font>
      <sz val="8"/>
      <name val="Calibri"/>
      <family val="2"/>
      <scheme val="minor"/>
    </font>
    <font>
      <b/>
      <sz val="11"/>
      <color theme="0"/>
      <name val="Calibri"/>
      <family val="2"/>
      <scheme val="minor"/>
    </font>
    <font>
      <b/>
      <sz val="14"/>
      <color theme="1"/>
      <name val="Calibri"/>
      <family val="2"/>
      <scheme val="minor"/>
    </font>
    <font>
      <b/>
      <sz val="16"/>
      <color rgb="FFE4D6FE"/>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1"/>
      <name val="Tahoma"/>
      <family val="2"/>
    </font>
    <font>
      <b/>
      <sz val="9"/>
      <color indexed="81"/>
      <name val="Tahoma"/>
      <family val="2"/>
    </font>
    <font>
      <sz val="10"/>
      <name val="Arial"/>
      <family val="2"/>
    </font>
    <font>
      <sz val="12"/>
      <color rgb="FFF6F3FF"/>
      <name val="Calibri"/>
      <family val="2"/>
      <scheme val="minor"/>
    </font>
    <font>
      <b/>
      <sz val="11"/>
      <color rgb="FF2B002E"/>
      <name val="Calibri"/>
      <family val="2"/>
      <scheme val="minor"/>
    </font>
    <font>
      <b/>
      <sz val="14"/>
      <color rgb="FF2B002E"/>
      <name val="Calibri"/>
      <family val="2"/>
      <scheme val="minor"/>
    </font>
    <font>
      <u/>
      <sz val="11"/>
      <color theme="10"/>
      <name val="Calibri"/>
      <family val="2"/>
      <scheme val="minor"/>
    </font>
    <font>
      <sz val="11"/>
      <color rgb="FF305496"/>
      <name val="Calibri"/>
      <family val="2"/>
      <scheme val="minor"/>
    </font>
    <font>
      <sz val="11"/>
      <color rgb="FF2B002E"/>
      <name val="Calibri"/>
      <family val="2"/>
      <scheme val="minor"/>
    </font>
    <font>
      <b/>
      <sz val="28"/>
      <color theme="1"/>
      <name val="Calibri"/>
      <family val="2"/>
      <scheme val="minor"/>
    </font>
    <font>
      <b/>
      <sz val="16"/>
      <color rgb="FFFFD9E5"/>
      <name val="Calibri"/>
      <family val="2"/>
      <scheme val="minor"/>
    </font>
    <font>
      <i/>
      <sz val="11"/>
      <color theme="1"/>
      <name val="Calibri"/>
      <family val="2"/>
      <scheme val="minor"/>
    </font>
    <font>
      <u/>
      <sz val="8"/>
      <color theme="10"/>
      <name val="Calibri"/>
      <family val="2"/>
      <scheme val="minor"/>
    </font>
    <font>
      <u/>
      <sz val="18"/>
      <color theme="10"/>
      <name val="Calibri"/>
      <family val="2"/>
      <scheme val="minor"/>
    </font>
    <font>
      <vertAlign val="subscript"/>
      <sz val="11"/>
      <color theme="1"/>
      <name val="Calibri"/>
      <family val="2"/>
      <scheme val="minor"/>
    </font>
    <font>
      <b/>
      <sz val="11"/>
      <color rgb="FF2F7F29"/>
      <name val="Calibri"/>
      <family val="2"/>
      <scheme val="minor"/>
    </font>
    <font>
      <b/>
      <sz val="11"/>
      <color rgb="FF2D4B7B"/>
      <name val="Calibri"/>
      <family val="2"/>
      <scheme val="minor"/>
    </font>
    <font>
      <b/>
      <sz val="11"/>
      <color rgb="FFBC8F10"/>
      <name val="Calibri"/>
      <family val="2"/>
      <scheme val="minor"/>
    </font>
    <font>
      <b/>
      <sz val="12"/>
      <color theme="1" tint="4.9989318521683403E-2"/>
      <name val="Calibri"/>
      <family val="2"/>
      <scheme val="minor"/>
    </font>
  </fonts>
  <fills count="54">
    <fill>
      <patternFill patternType="none"/>
    </fill>
    <fill>
      <patternFill patternType="gray125"/>
    </fill>
    <fill>
      <patternFill patternType="solid">
        <fgColor rgb="FF004050"/>
        <bgColor indexed="64"/>
      </patternFill>
    </fill>
    <fill>
      <patternFill patternType="solid">
        <fgColor rgb="FF217EA7"/>
        <bgColor indexed="64"/>
      </patternFill>
    </fill>
    <fill>
      <patternFill patternType="solid">
        <fgColor rgb="FFF8D237"/>
        <bgColor indexed="64"/>
      </patternFill>
    </fill>
    <fill>
      <patternFill patternType="solid">
        <fgColor theme="4"/>
        <bgColor theme="4"/>
      </patternFill>
    </fill>
    <fill>
      <patternFill patternType="solid">
        <fgColor theme="5"/>
        <bgColor theme="5"/>
      </patternFill>
    </fill>
    <fill>
      <patternFill patternType="solid">
        <fgColor theme="4" tint="0.79998168889431442"/>
        <bgColor theme="4" tint="0.79998168889431442"/>
      </patternFill>
    </fill>
    <fill>
      <patternFill patternType="solid">
        <fgColor theme="5" tint="0.79998168889431442"/>
        <bgColor theme="5" tint="0.79998168889431442"/>
      </patternFill>
    </fill>
    <fill>
      <patternFill patternType="solid">
        <fgColor rgb="FFD9E1F2"/>
        <bgColor indexed="64"/>
      </patternFill>
    </fill>
    <fill>
      <patternFill patternType="solid">
        <fgColor rgb="FF430048"/>
        <bgColor indexed="64"/>
      </patternFill>
    </fill>
    <fill>
      <patternFill patternType="solid">
        <fgColor rgb="FF9A0E90"/>
        <bgColor indexed="64"/>
      </patternFill>
    </fill>
    <fill>
      <patternFill patternType="solid">
        <fgColor rgb="FFD9E1F2"/>
        <bgColor theme="4" tint="0.79995117038483843"/>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4D6FE"/>
        <bgColor indexed="64"/>
      </patternFill>
    </fill>
    <fill>
      <patternFill patternType="solid">
        <fgColor theme="4" tint="0.79998168889431442"/>
        <bgColor indexed="64"/>
      </patternFill>
    </fill>
    <fill>
      <patternFill patternType="solid">
        <fgColor rgb="FF305496"/>
        <bgColor indexed="64"/>
      </patternFill>
    </fill>
    <fill>
      <patternFill patternType="solid">
        <fgColor rgb="FFFFFF00"/>
        <bgColor indexed="64"/>
      </patternFill>
    </fill>
    <fill>
      <patternFill patternType="solid">
        <fgColor rgb="FFCA104A"/>
        <bgColor indexed="64"/>
      </patternFill>
    </fill>
    <fill>
      <patternFill patternType="solid">
        <fgColor rgb="FF810D1E"/>
        <bgColor indexed="64"/>
      </patternFill>
    </fill>
    <fill>
      <patternFill patternType="solid">
        <fgColor rgb="FFDEE9EC"/>
        <bgColor indexed="64"/>
      </patternFill>
    </fill>
    <fill>
      <patternFill patternType="solid">
        <fgColor theme="9" tint="0.79998168889431442"/>
        <bgColor theme="9" tint="0.79998168889431442"/>
      </patternFill>
    </fill>
    <fill>
      <patternFill patternType="solid">
        <fgColor theme="9"/>
        <bgColor theme="9"/>
      </patternFill>
    </fill>
    <fill>
      <patternFill patternType="solid">
        <fgColor rgb="FF70AD47"/>
        <bgColor theme="9"/>
      </patternFill>
    </fill>
  </fills>
  <borders count="80">
    <border>
      <left/>
      <right/>
      <top/>
      <bottom/>
      <diagonal/>
    </border>
    <border>
      <left style="thick">
        <color rgb="FFF3622C"/>
      </left>
      <right style="thick">
        <color rgb="FFF3622C"/>
      </right>
      <top style="thick">
        <color rgb="FFF3622C"/>
      </top>
      <bottom style="thick">
        <color rgb="FFF3622C"/>
      </bottom>
      <diagonal/>
    </border>
    <border>
      <left style="thick">
        <color rgb="FFF3622C"/>
      </left>
      <right/>
      <top style="thick">
        <color rgb="FFF3622C"/>
      </top>
      <bottom style="thick">
        <color rgb="FFF3622C"/>
      </bottom>
      <diagonal/>
    </border>
    <border>
      <left/>
      <right style="thick">
        <color rgb="FFF3622C"/>
      </right>
      <top style="thick">
        <color rgb="FFF3622C"/>
      </top>
      <bottom style="thick">
        <color rgb="FFF3622C"/>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rgb="FF305496"/>
      </left>
      <right style="medium">
        <color rgb="FF305496"/>
      </right>
      <top style="medium">
        <color rgb="FF305496"/>
      </top>
      <bottom style="medium">
        <color rgb="FF305496"/>
      </bottom>
      <diagonal/>
    </border>
    <border>
      <left style="thin">
        <color theme="5" tint="0.39997558519241921"/>
      </left>
      <right/>
      <top style="thin">
        <color theme="5" tint="0.39997558519241921"/>
      </top>
      <bottom/>
      <diagonal/>
    </border>
    <border>
      <left/>
      <right style="thin">
        <color theme="5" tint="0.39997558519241921"/>
      </right>
      <top style="thin">
        <color theme="5" tint="0.39997558519241921"/>
      </top>
      <bottom/>
      <diagonal/>
    </border>
    <border>
      <left style="thick">
        <color rgb="FFF3622C"/>
      </left>
      <right/>
      <top style="thick">
        <color rgb="FFF3622C"/>
      </top>
      <bottom/>
      <diagonal/>
    </border>
    <border>
      <left/>
      <right/>
      <top style="thick">
        <color rgb="FFF3622C"/>
      </top>
      <bottom/>
      <diagonal/>
    </border>
    <border>
      <left/>
      <right style="thick">
        <color rgb="FFF3622C"/>
      </right>
      <top style="thick">
        <color rgb="FFF3622C"/>
      </top>
      <bottom/>
      <diagonal/>
    </border>
    <border>
      <left style="thick">
        <color rgb="FFF3622C"/>
      </left>
      <right/>
      <top/>
      <bottom style="thick">
        <color rgb="FFF3622C"/>
      </bottom>
      <diagonal/>
    </border>
    <border>
      <left/>
      <right/>
      <top/>
      <bottom style="thick">
        <color rgb="FFF3622C"/>
      </bottom>
      <diagonal/>
    </border>
    <border>
      <left/>
      <right style="thick">
        <color rgb="FFF3622C"/>
      </right>
      <top/>
      <bottom style="thick">
        <color rgb="FFF3622C"/>
      </bottom>
      <diagonal/>
    </border>
    <border>
      <left/>
      <right/>
      <top style="thin">
        <color theme="5" tint="0.39997558519241921"/>
      </top>
      <bottom/>
      <diagonal/>
    </border>
    <border>
      <left/>
      <right style="thin">
        <color theme="5" tint="0.39997558519241921"/>
      </right>
      <top style="thin">
        <color theme="5" tint="0.39997558519241921"/>
      </top>
      <bottom style="thin">
        <color theme="5" tint="0.39994506668294322"/>
      </bottom>
      <diagonal/>
    </border>
    <border>
      <left style="thin">
        <color theme="4" tint="0.39997558519241921"/>
      </left>
      <right/>
      <top style="thin">
        <color theme="4" tint="0.39997558519241921"/>
      </top>
      <bottom style="thin">
        <color theme="4" tint="0.39994506668294322"/>
      </bottom>
      <diagonal/>
    </border>
    <border>
      <left/>
      <right/>
      <top style="thin">
        <color theme="4" tint="0.39997558519241921"/>
      </top>
      <bottom style="thin">
        <color theme="4" tint="0.399945066682943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1F006C"/>
      </left>
      <right style="thin">
        <color rgb="FF1F006C"/>
      </right>
      <top style="thin">
        <color rgb="FF1F006C"/>
      </top>
      <bottom style="thin">
        <color rgb="FF1F006C"/>
      </bottom>
      <diagonal/>
    </border>
    <border>
      <left style="medium">
        <color rgb="FF430048"/>
      </left>
      <right style="medium">
        <color rgb="FF430048"/>
      </right>
      <top style="medium">
        <color rgb="FF430048"/>
      </top>
      <bottom style="medium">
        <color rgb="FF430048"/>
      </bottom>
      <diagonal/>
    </border>
    <border>
      <left style="medium">
        <color rgb="FF305496"/>
      </left>
      <right/>
      <top style="medium">
        <color rgb="FF305496"/>
      </top>
      <bottom/>
      <diagonal/>
    </border>
    <border>
      <left/>
      <right/>
      <top style="medium">
        <color rgb="FF305496"/>
      </top>
      <bottom/>
      <diagonal/>
    </border>
    <border>
      <left/>
      <right style="medium">
        <color rgb="FF305496"/>
      </right>
      <top style="medium">
        <color rgb="FF305496"/>
      </top>
      <bottom/>
      <diagonal/>
    </border>
    <border>
      <left style="medium">
        <color rgb="FF305496"/>
      </left>
      <right/>
      <top/>
      <bottom/>
      <diagonal/>
    </border>
    <border>
      <left/>
      <right style="medium">
        <color rgb="FF305496"/>
      </right>
      <top/>
      <bottom/>
      <diagonal/>
    </border>
    <border>
      <left style="medium">
        <color rgb="FF305496"/>
      </left>
      <right/>
      <top/>
      <bottom style="medium">
        <color rgb="FF305496"/>
      </bottom>
      <diagonal/>
    </border>
    <border>
      <left/>
      <right/>
      <top/>
      <bottom style="medium">
        <color rgb="FF305496"/>
      </bottom>
      <diagonal/>
    </border>
    <border>
      <left/>
      <right style="medium">
        <color rgb="FF305496"/>
      </right>
      <top/>
      <bottom style="medium">
        <color rgb="FF305496"/>
      </bottom>
      <diagonal/>
    </border>
    <border>
      <left style="thin">
        <color theme="4" tint="0.39997558519241921"/>
      </left>
      <right/>
      <top/>
      <bottom/>
      <diagonal/>
    </border>
    <border>
      <left/>
      <right style="thin">
        <color theme="4" tint="0.39997558519241921"/>
      </right>
      <top/>
      <bottom/>
      <diagonal/>
    </border>
    <border>
      <left style="thin">
        <color theme="5" tint="0.39997558519241921"/>
      </left>
      <right/>
      <top/>
      <bottom/>
      <diagonal/>
    </border>
    <border>
      <left/>
      <right style="thin">
        <color theme="5" tint="0.39997558519241921"/>
      </right>
      <top/>
      <bottom/>
      <diagonal/>
    </border>
    <border>
      <left style="thick">
        <color rgb="FFF3622C"/>
      </left>
      <right/>
      <top/>
      <bottom/>
      <diagonal/>
    </border>
    <border>
      <left/>
      <right style="thick">
        <color rgb="FFF3622C"/>
      </right>
      <top/>
      <bottom/>
      <diagonal/>
    </border>
    <border>
      <left style="medium">
        <color rgb="FF305496"/>
      </left>
      <right/>
      <top style="medium">
        <color rgb="FF305496"/>
      </top>
      <bottom style="medium">
        <color rgb="FF305496"/>
      </bottom>
      <diagonal/>
    </border>
    <border>
      <left/>
      <right/>
      <top style="medium">
        <color rgb="FF305496"/>
      </top>
      <bottom style="medium">
        <color rgb="FF305496"/>
      </bottom>
      <diagonal/>
    </border>
    <border>
      <left/>
      <right style="medium">
        <color rgb="FF305496"/>
      </right>
      <top style="medium">
        <color rgb="FF305496"/>
      </top>
      <bottom style="medium">
        <color rgb="FF305496"/>
      </bottom>
      <diagonal/>
    </border>
    <border>
      <left/>
      <right/>
      <top style="thick">
        <color rgb="FFF3622C"/>
      </top>
      <bottom style="thick">
        <color rgb="FFF3622C"/>
      </bottom>
      <diagonal/>
    </border>
    <border>
      <left style="medium">
        <color rgb="FF430048"/>
      </left>
      <right/>
      <top/>
      <bottom/>
      <diagonal/>
    </border>
    <border>
      <left style="medium">
        <color rgb="FF430048"/>
      </left>
      <right/>
      <top style="medium">
        <color rgb="FF430048"/>
      </top>
      <bottom/>
      <diagonal/>
    </border>
    <border>
      <left/>
      <right/>
      <top style="medium">
        <color rgb="FF430048"/>
      </top>
      <bottom/>
      <diagonal/>
    </border>
    <border>
      <left/>
      <right style="medium">
        <color rgb="FF430048"/>
      </right>
      <top style="medium">
        <color rgb="FF430048"/>
      </top>
      <bottom/>
      <diagonal/>
    </border>
    <border>
      <left/>
      <right style="medium">
        <color rgb="FF430048"/>
      </right>
      <top/>
      <bottom/>
      <diagonal/>
    </border>
    <border>
      <left style="medium">
        <color rgb="FF430048"/>
      </left>
      <right/>
      <top/>
      <bottom style="medium">
        <color rgb="FF430048"/>
      </bottom>
      <diagonal/>
    </border>
    <border>
      <left/>
      <right/>
      <top/>
      <bottom style="medium">
        <color rgb="FF430048"/>
      </bottom>
      <diagonal/>
    </border>
    <border>
      <left/>
      <right style="medium">
        <color rgb="FF430048"/>
      </right>
      <top/>
      <bottom style="medium">
        <color rgb="FF430048"/>
      </bottom>
      <diagonal/>
    </border>
    <border>
      <left/>
      <right/>
      <top style="thick">
        <color rgb="FF217EA7"/>
      </top>
      <bottom style="thick">
        <color rgb="FF217EA7"/>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theme="4" tint="0.39997558519241921"/>
      </right>
      <top style="thin">
        <color theme="4" tint="0.39997558519241921"/>
      </top>
      <bottom style="thin">
        <color theme="4" tint="0.39994506668294322"/>
      </bottom>
      <diagonal/>
    </border>
    <border>
      <left style="thin">
        <color theme="5" tint="0.39997558519241921"/>
      </left>
      <right/>
      <top style="thin">
        <color theme="5" tint="0.39997558519241921"/>
      </top>
      <bottom style="thin">
        <color theme="5" tint="0.39994506668294322"/>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style="thin">
        <color theme="9" tint="0.39997558519241921"/>
      </right>
      <top style="thin">
        <color theme="9" tint="0.39997558519241921"/>
      </top>
      <bottom/>
      <diagonal/>
    </border>
    <border>
      <left/>
      <right/>
      <top style="thin">
        <color theme="5" tint="0.39997558519241921"/>
      </top>
      <bottom style="thin">
        <color theme="5" tint="0.39994506668294322"/>
      </bottom>
      <diagonal/>
    </border>
    <border>
      <left/>
      <right/>
      <top style="thin">
        <color theme="9" tint="0.39997558519241921"/>
      </top>
      <bottom style="thin">
        <color theme="9" tint="0.39997558519241921"/>
      </bottom>
      <diagonal/>
    </border>
    <border>
      <left/>
      <right/>
      <top style="thin">
        <color theme="9" tint="0.39997558519241921"/>
      </top>
      <bottom/>
      <diagonal/>
    </border>
    <border>
      <left style="thin">
        <color theme="4" tint="0.39994506668294322"/>
      </left>
      <right/>
      <top style="thin">
        <color theme="4" tint="0.39994506668294322"/>
      </top>
      <bottom/>
      <diagonal/>
    </border>
    <border>
      <left/>
      <right/>
      <top style="thin">
        <color theme="4" tint="0.39994506668294322"/>
      </top>
      <bottom/>
      <diagonal/>
    </border>
    <border>
      <left/>
      <right style="thin">
        <color theme="4" tint="0.39994506668294322"/>
      </right>
      <top style="thin">
        <color theme="4" tint="0.39994506668294322"/>
      </top>
      <bottom/>
      <diagonal/>
    </border>
    <border>
      <left style="thin">
        <color theme="4" tint="0.39994506668294322"/>
      </left>
      <right/>
      <top style="thin">
        <color theme="4" tint="0.39997558519241921"/>
      </top>
      <bottom/>
      <diagonal/>
    </border>
    <border>
      <left/>
      <right style="thin">
        <color theme="4" tint="0.39994506668294322"/>
      </right>
      <top style="thin">
        <color theme="4" tint="0.39997558519241921"/>
      </top>
      <bottom/>
      <diagonal/>
    </border>
    <border>
      <left style="thin">
        <color theme="4" tint="0.39994506668294322"/>
      </left>
      <right/>
      <top style="thin">
        <color theme="4" tint="0.39997558519241921"/>
      </top>
      <bottom style="thin">
        <color theme="4" tint="0.39994506668294322"/>
      </bottom>
      <diagonal/>
    </border>
    <border>
      <left/>
      <right style="thin">
        <color theme="4" tint="0.39994506668294322"/>
      </right>
      <top style="thin">
        <color theme="4" tint="0.39997558519241921"/>
      </top>
      <bottom style="thin">
        <color theme="4" tint="0.39994506668294322"/>
      </bottom>
      <diagonal/>
    </border>
  </borders>
  <cellStyleXfs count="2285">
    <xf numFmtId="0" fontId="0" fillId="0" borderId="0"/>
    <xf numFmtId="0" fontId="11" fillId="0" borderId="0" applyNumberFormat="0" applyFill="0" applyBorder="0" applyAlignment="0" applyProtection="0"/>
    <xf numFmtId="0" fontId="12" fillId="0" borderId="23" applyNumberFormat="0" applyFill="0" applyAlignment="0" applyProtection="0"/>
    <xf numFmtId="0" fontId="13" fillId="0" borderId="24" applyNumberFormat="0" applyFill="0" applyAlignment="0" applyProtection="0"/>
    <xf numFmtId="0" fontId="14" fillId="0" borderId="25" applyNumberFormat="0" applyFill="0" applyAlignment="0" applyProtection="0"/>
    <xf numFmtId="0" fontId="14" fillId="0" borderId="0" applyNumberFormat="0" applyFill="0" applyBorder="0" applyAlignment="0" applyProtection="0"/>
    <xf numFmtId="0" fontId="15" fillId="13" borderId="0" applyNumberFormat="0" applyBorder="0" applyAlignment="0" applyProtection="0"/>
    <xf numFmtId="0" fontId="16" fillId="14" borderId="0" applyNumberFormat="0" applyBorder="0" applyAlignment="0" applyProtection="0"/>
    <xf numFmtId="0" fontId="17" fillId="15" borderId="0" applyNumberFormat="0" applyBorder="0" applyAlignment="0" applyProtection="0"/>
    <xf numFmtId="0" fontId="18" fillId="16" borderId="26" applyNumberFormat="0" applyAlignment="0" applyProtection="0"/>
    <xf numFmtId="0" fontId="19" fillId="17" borderId="27" applyNumberFormat="0" applyAlignment="0" applyProtection="0"/>
    <xf numFmtId="0" fontId="20" fillId="17" borderId="26" applyNumberFormat="0" applyAlignment="0" applyProtection="0"/>
    <xf numFmtId="0" fontId="21" fillId="0" borderId="28" applyNumberFormat="0" applyFill="0" applyAlignment="0" applyProtection="0"/>
    <xf numFmtId="0" fontId="7" fillId="18" borderId="29" applyNumberFormat="0" applyAlignment="0" applyProtection="0"/>
    <xf numFmtId="0" fontId="22" fillId="0" borderId="0" applyNumberFormat="0" applyFill="0" applyBorder="0" applyAlignment="0" applyProtection="0"/>
    <xf numFmtId="0" fontId="10" fillId="19" borderId="30" applyNumberFormat="0" applyFont="0" applyAlignment="0" applyProtection="0"/>
    <xf numFmtId="0" fontId="23" fillId="0" borderId="0" applyNumberFormat="0" applyFill="0" applyBorder="0" applyAlignment="0" applyProtection="0"/>
    <xf numFmtId="0" fontId="1" fillId="0" borderId="31" applyNumberFormat="0" applyFill="0" applyAlignment="0" applyProtection="0"/>
    <xf numFmtId="0" fontId="24" fillId="20"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24" fillId="24"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24" fillId="28"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24" fillId="32" borderId="0" applyNumberFormat="0" applyBorder="0" applyAlignment="0" applyProtection="0"/>
    <xf numFmtId="0" fontId="10" fillId="33" borderId="0" applyNumberFormat="0" applyBorder="0" applyAlignment="0" applyProtection="0"/>
    <xf numFmtId="0" fontId="10" fillId="34" borderId="0" applyNumberFormat="0" applyBorder="0" applyAlignment="0" applyProtection="0"/>
    <xf numFmtId="0" fontId="10" fillId="35" borderId="0" applyNumberFormat="0" applyBorder="0" applyAlignment="0" applyProtection="0"/>
    <xf numFmtId="0" fontId="24" fillId="36" borderId="0" applyNumberFormat="0" applyBorder="0" applyAlignment="0" applyProtection="0"/>
    <xf numFmtId="0" fontId="10" fillId="37"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24" fillId="40" borderId="0" applyNumberFormat="0" applyBorder="0" applyAlignment="0" applyProtection="0"/>
    <xf numFmtId="0" fontId="10" fillId="41" borderId="0" applyNumberFormat="0" applyBorder="0" applyAlignment="0" applyProtection="0"/>
    <xf numFmtId="0" fontId="10" fillId="42" borderId="0" applyNumberFormat="0" applyBorder="0" applyAlignment="0" applyProtection="0"/>
    <xf numFmtId="0" fontId="10" fillId="43"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27"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31" fillId="0" borderId="0" applyNumberForma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9" fontId="10" fillId="0" borderId="0" applyFont="0" applyFill="0" applyBorder="0" applyAlignment="0" applyProtection="0"/>
  </cellStyleXfs>
  <cellXfs count="171">
    <xf numFmtId="0" fontId="0" fillId="0" borderId="0" xfId="0"/>
    <xf numFmtId="0" fontId="1" fillId="0" borderId="0" xfId="0" applyFont="1"/>
    <xf numFmtId="0" fontId="0" fillId="0" borderId="0" xfId="0" applyAlignment="1" applyProtection="1">
      <alignment horizontal="left" indent="1"/>
      <protection hidden="1"/>
    </xf>
    <xf numFmtId="164" fontId="33" fillId="0" borderId="0" xfId="0" applyNumberFormat="1" applyFont="1" applyProtection="1">
      <protection hidden="1"/>
    </xf>
    <xf numFmtId="0" fontId="0" fillId="0" borderId="0" xfId="0" applyProtection="1">
      <protection hidden="1"/>
    </xf>
    <xf numFmtId="0" fontId="28" fillId="46" borderId="32" xfId="0" applyFont="1" applyFill="1" applyBorder="1" applyAlignment="1" applyProtection="1">
      <alignment horizontal="center"/>
      <protection hidden="1"/>
    </xf>
    <xf numFmtId="0" fontId="30" fillId="44" borderId="33" xfId="0" applyFont="1" applyFill="1" applyBorder="1" applyProtection="1">
      <protection hidden="1"/>
    </xf>
    <xf numFmtId="0" fontId="34" fillId="0" borderId="0" xfId="0" applyFont="1" applyProtection="1">
      <protection hidden="1"/>
    </xf>
    <xf numFmtId="0" fontId="8" fillId="9" borderId="10" xfId="0" applyFont="1" applyFill="1" applyBorder="1" applyProtection="1">
      <protection hidden="1"/>
    </xf>
    <xf numFmtId="164" fontId="32" fillId="0" borderId="0" xfId="0" applyNumberFormat="1" applyFont="1" applyProtection="1">
      <protection hidden="1"/>
    </xf>
    <xf numFmtId="165" fontId="0" fillId="0" borderId="0" xfId="0" applyNumberFormat="1" applyProtection="1">
      <protection hidden="1"/>
    </xf>
    <xf numFmtId="0" fontId="31" fillId="0" borderId="0" xfId="267" applyAlignment="1" applyProtection="1">
      <protection hidden="1"/>
    </xf>
    <xf numFmtId="0" fontId="1" fillId="0" borderId="0" xfId="0" applyFont="1" applyProtection="1">
      <protection hidden="1"/>
    </xf>
    <xf numFmtId="3" fontId="0" fillId="0" borderId="0" xfId="0" applyNumberFormat="1" applyProtection="1">
      <protection hidden="1"/>
    </xf>
    <xf numFmtId="0" fontId="0" fillId="45" borderId="37" xfId="0" applyFill="1" applyBorder="1" applyAlignment="1" applyProtection="1">
      <alignment horizontal="left" vertical="top" wrapText="1"/>
      <protection hidden="1"/>
    </xf>
    <xf numFmtId="0" fontId="0" fillId="45" borderId="0" xfId="0" applyFill="1" applyAlignment="1" applyProtection="1">
      <alignment horizontal="left" vertical="top" wrapText="1"/>
      <protection hidden="1"/>
    </xf>
    <xf numFmtId="0" fontId="0" fillId="45" borderId="38" xfId="0" applyFill="1" applyBorder="1" applyAlignment="1" applyProtection="1">
      <alignment horizontal="left" vertical="top" wrapText="1"/>
      <protection hidden="1"/>
    </xf>
    <xf numFmtId="0" fontId="0" fillId="45" borderId="0" xfId="0" applyFill="1" applyAlignment="1" applyProtection="1">
      <alignment horizontal="left" vertical="top" wrapText="1" indent="1"/>
      <protection hidden="1"/>
    </xf>
    <xf numFmtId="0" fontId="0" fillId="45" borderId="38" xfId="0" applyFill="1" applyBorder="1" applyAlignment="1" applyProtection="1">
      <alignment horizontal="left" vertical="top" wrapText="1" indent="1"/>
      <protection hidden="1"/>
    </xf>
    <xf numFmtId="0" fontId="31" fillId="0" borderId="0" xfId="267"/>
    <xf numFmtId="0" fontId="0" fillId="0" borderId="0" xfId="0" applyAlignment="1" applyProtection="1">
      <alignment vertical="center" wrapText="1"/>
      <protection hidden="1"/>
    </xf>
    <xf numFmtId="0" fontId="0" fillId="0" borderId="0" xfId="0" applyAlignment="1" applyProtection="1">
      <alignment vertical="center"/>
      <protection hidden="1"/>
    </xf>
    <xf numFmtId="0" fontId="37" fillId="0" borderId="0" xfId="267" applyFont="1" applyProtection="1">
      <protection hidden="1"/>
    </xf>
    <xf numFmtId="0" fontId="0" fillId="0" borderId="7" xfId="0" applyBorder="1" applyProtection="1">
      <protection hidden="1"/>
    </xf>
    <xf numFmtId="0" fontId="0" fillId="12" borderId="21" xfId="0" applyFill="1" applyBorder="1" applyProtection="1">
      <protection hidden="1"/>
    </xf>
    <xf numFmtId="0" fontId="0" fillId="0" borderId="11" xfId="0" applyBorder="1" applyProtection="1">
      <protection hidden="1"/>
    </xf>
    <xf numFmtId="0" fontId="0" fillId="0" borderId="9" xfId="0" applyBorder="1" applyProtection="1">
      <protection hidden="1"/>
    </xf>
    <xf numFmtId="0" fontId="0" fillId="8" borderId="12" xfId="0" applyFill="1" applyBorder="1" applyProtection="1">
      <protection hidden="1"/>
    </xf>
    <xf numFmtId="0" fontId="0" fillId="8" borderId="11" xfId="0" applyFill="1" applyBorder="1" applyProtection="1">
      <protection hidden="1"/>
    </xf>
    <xf numFmtId="0" fontId="0" fillId="7" borderId="7" xfId="0" applyFill="1" applyBorder="1" applyProtection="1">
      <protection hidden="1"/>
    </xf>
    <xf numFmtId="0" fontId="0" fillId="7" borderId="64" xfId="0" applyFill="1" applyBorder="1" applyProtection="1">
      <protection hidden="1"/>
    </xf>
    <xf numFmtId="0" fontId="0" fillId="7" borderId="9" xfId="0" applyFill="1" applyBorder="1" applyProtection="1">
      <protection hidden="1"/>
    </xf>
    <xf numFmtId="0" fontId="0" fillId="0" borderId="66" xfId="0" applyBorder="1"/>
    <xf numFmtId="0" fontId="0" fillId="8" borderId="20" xfId="0" applyFill="1" applyBorder="1" applyProtection="1">
      <protection hidden="1"/>
    </xf>
    <xf numFmtId="0" fontId="0" fillId="8" borderId="65" xfId="0" applyFill="1" applyBorder="1" applyProtection="1">
      <protection hidden="1"/>
    </xf>
    <xf numFmtId="0" fontId="0" fillId="0" borderId="5" xfId="0" applyBorder="1"/>
    <xf numFmtId="0" fontId="0" fillId="0" borderId="12" xfId="0" applyBorder="1" applyProtection="1">
      <protection hidden="1"/>
    </xf>
    <xf numFmtId="0" fontId="0" fillId="0" borderId="67" xfId="0" applyBorder="1"/>
    <xf numFmtId="0" fontId="1" fillId="9" borderId="10" xfId="0" applyFont="1" applyFill="1" applyBorder="1" applyProtection="1">
      <protection hidden="1"/>
    </xf>
    <xf numFmtId="0" fontId="29" fillId="44" borderId="33" xfId="0" applyFont="1" applyFill="1" applyBorder="1" applyProtection="1">
      <protection hidden="1"/>
    </xf>
    <xf numFmtId="0" fontId="0" fillId="4" borderId="1" xfId="0" applyFill="1" applyBorder="1" applyProtection="1">
      <protection locked="0" hidden="1"/>
    </xf>
    <xf numFmtId="0" fontId="8" fillId="0" borderId="0" xfId="0" applyFont="1" applyProtection="1">
      <protection hidden="1"/>
    </xf>
    <xf numFmtId="0" fontId="31" fillId="0" borderId="0" xfId="267" applyProtection="1">
      <protection hidden="1"/>
    </xf>
    <xf numFmtId="0" fontId="7" fillId="5" borderId="42" xfId="0" applyFont="1" applyFill="1" applyBorder="1" applyProtection="1">
      <protection hidden="1"/>
    </xf>
    <xf numFmtId="0" fontId="7" fillId="5" borderId="0" xfId="0" applyFont="1" applyFill="1" applyProtection="1">
      <protection hidden="1"/>
    </xf>
    <xf numFmtId="0" fontId="7" fillId="5" borderId="43" xfId="0" applyFont="1" applyFill="1" applyBorder="1" applyProtection="1">
      <protection hidden="1"/>
    </xf>
    <xf numFmtId="0" fontId="7" fillId="6" borderId="44" xfId="0" applyFont="1" applyFill="1" applyBorder="1" applyProtection="1">
      <protection hidden="1"/>
    </xf>
    <xf numFmtId="0" fontId="7" fillId="6" borderId="0" xfId="0" applyFont="1" applyFill="1" applyProtection="1">
      <protection hidden="1"/>
    </xf>
    <xf numFmtId="0" fontId="7" fillId="6" borderId="45" xfId="0" applyFont="1" applyFill="1" applyBorder="1" applyProtection="1">
      <protection hidden="1"/>
    </xf>
    <xf numFmtId="0" fontId="4" fillId="0" borderId="0" xfId="0" applyFont="1" applyProtection="1">
      <protection hidden="1"/>
    </xf>
    <xf numFmtId="0" fontId="0" fillId="0" borderId="0" xfId="0" applyAlignment="1" applyProtection="1">
      <alignment vertical="top"/>
      <protection hidden="1"/>
    </xf>
    <xf numFmtId="0" fontId="7" fillId="52" borderId="68" xfId="0" applyFont="1" applyFill="1" applyBorder="1"/>
    <xf numFmtId="0" fontId="0" fillId="51" borderId="68" xfId="0" applyFill="1" applyBorder="1"/>
    <xf numFmtId="0" fontId="0" fillId="51" borderId="69" xfId="0" applyFill="1" applyBorder="1"/>
    <xf numFmtId="0" fontId="0" fillId="0" borderId="68" xfId="0" applyBorder="1"/>
    <xf numFmtId="0" fontId="0" fillId="0" borderId="69" xfId="0" applyBorder="1"/>
    <xf numFmtId="0" fontId="7" fillId="53" borderId="69" xfId="0" applyFont="1" applyFill="1" applyBorder="1"/>
    <xf numFmtId="0" fontId="0" fillId="8" borderId="19" xfId="0" applyFill="1" applyBorder="1" applyProtection="1">
      <protection hidden="1"/>
    </xf>
    <xf numFmtId="0" fontId="0" fillId="0" borderId="19" xfId="0" applyBorder="1" applyProtection="1">
      <protection hidden="1"/>
    </xf>
    <xf numFmtId="0" fontId="0" fillId="8" borderId="70" xfId="0" applyFill="1" applyBorder="1" applyProtection="1">
      <protection hidden="1"/>
    </xf>
    <xf numFmtId="0" fontId="7" fillId="53" borderId="72" xfId="0" applyFont="1" applyFill="1" applyBorder="1"/>
    <xf numFmtId="0" fontId="0" fillId="51" borderId="72" xfId="0" applyFill="1" applyBorder="1"/>
    <xf numFmtId="0" fontId="0" fillId="0" borderId="72" xfId="0" applyBorder="1"/>
    <xf numFmtId="0" fontId="0" fillId="0" borderId="71" xfId="0" applyBorder="1"/>
    <xf numFmtId="0" fontId="0" fillId="7" borderId="8" xfId="0" applyFill="1" applyBorder="1" applyProtection="1">
      <protection hidden="1"/>
    </xf>
    <xf numFmtId="0" fontId="0" fillId="0" borderId="8" xfId="0" applyBorder="1" applyProtection="1">
      <protection hidden="1"/>
    </xf>
    <xf numFmtId="0" fontId="0" fillId="7" borderId="22" xfId="0" applyFill="1" applyBorder="1" applyProtection="1">
      <protection hidden="1"/>
    </xf>
    <xf numFmtId="0" fontId="5" fillId="51" borderId="69" xfId="0" applyFont="1" applyFill="1" applyBorder="1" applyAlignment="1">
      <alignment horizontal="center"/>
    </xf>
    <xf numFmtId="0" fontId="5" fillId="0" borderId="69" xfId="0" applyFont="1" applyBorder="1" applyAlignment="1">
      <alignment horizontal="center"/>
    </xf>
    <xf numFmtId="0" fontId="5" fillId="0" borderId="72" xfId="0" applyFont="1" applyBorder="1" applyAlignment="1">
      <alignment horizontal="center"/>
    </xf>
    <xf numFmtId="0" fontId="5" fillId="51" borderId="72" xfId="0" applyFont="1" applyFill="1" applyBorder="1" applyAlignment="1">
      <alignment horizontal="center"/>
    </xf>
    <xf numFmtId="0" fontId="5" fillId="0" borderId="71" xfId="0" applyFont="1" applyBorder="1" applyAlignment="1">
      <alignment horizontal="center"/>
    </xf>
    <xf numFmtId="0" fontId="7" fillId="5" borderId="7" xfId="0" applyFont="1" applyFill="1" applyBorder="1"/>
    <xf numFmtId="0" fontId="7" fillId="5" borderId="8" xfId="0" applyFont="1" applyFill="1" applyBorder="1"/>
    <xf numFmtId="0" fontId="7" fillId="5" borderId="9" xfId="0" applyFont="1" applyFill="1" applyBorder="1"/>
    <xf numFmtId="0" fontId="0" fillId="7" borderId="7" xfId="0" applyFill="1" applyBorder="1"/>
    <xf numFmtId="0" fontId="0" fillId="7" borderId="8" xfId="0" applyFill="1" applyBorder="1"/>
    <xf numFmtId="0" fontId="0" fillId="7" borderId="9" xfId="0" applyFill="1" applyBorder="1"/>
    <xf numFmtId="0" fontId="0" fillId="0" borderId="7" xfId="0" applyBorder="1"/>
    <xf numFmtId="0" fontId="0" fillId="0" borderId="8" xfId="0" applyBorder="1"/>
    <xf numFmtId="0" fontId="0" fillId="0" borderId="9" xfId="0" applyBorder="1"/>
    <xf numFmtId="0" fontId="0" fillId="0" borderId="4" xfId="0" applyBorder="1"/>
    <xf numFmtId="0" fontId="0" fillId="0" borderId="6" xfId="0" applyBorder="1"/>
    <xf numFmtId="0" fontId="0" fillId="7" borderId="22" xfId="0" applyFill="1" applyBorder="1"/>
    <xf numFmtId="0" fontId="7" fillId="5" borderId="73" xfId="0" applyFont="1" applyFill="1" applyBorder="1"/>
    <xf numFmtId="0" fontId="7" fillId="5" borderId="74" xfId="0" applyFont="1" applyFill="1" applyBorder="1"/>
    <xf numFmtId="0" fontId="7" fillId="5" borderId="75" xfId="0" applyFont="1" applyFill="1" applyBorder="1"/>
    <xf numFmtId="0" fontId="40" fillId="0" borderId="0" xfId="0" applyFont="1" applyProtection="1">
      <protection hidden="1"/>
    </xf>
    <xf numFmtId="9" fontId="1" fillId="7" borderId="7" xfId="2284" applyFont="1" applyFill="1" applyBorder="1"/>
    <xf numFmtId="9" fontId="1" fillId="0" borderId="7" xfId="2284" applyFont="1" applyBorder="1"/>
    <xf numFmtId="9" fontId="1" fillId="7" borderId="21" xfId="2284" applyFont="1" applyFill="1" applyBorder="1"/>
    <xf numFmtId="3" fontId="1" fillId="7" borderId="9" xfId="0" applyNumberFormat="1" applyFont="1" applyFill="1" applyBorder="1"/>
    <xf numFmtId="3" fontId="1" fillId="0" borderId="9" xfId="0" applyNumberFormat="1" applyFont="1" applyBorder="1"/>
    <xf numFmtId="3" fontId="1" fillId="7" borderId="64" xfId="0" applyNumberFormat="1" applyFont="1" applyFill="1" applyBorder="1"/>
    <xf numFmtId="3" fontId="1" fillId="0" borderId="5" xfId="0" applyNumberFormat="1" applyFont="1" applyBorder="1"/>
    <xf numFmtId="0" fontId="1" fillId="7" borderId="76" xfId="0" applyFont="1" applyFill="1" applyBorder="1"/>
    <xf numFmtId="0" fontId="1" fillId="0" borderId="76" xfId="0" applyFont="1" applyBorder="1"/>
    <xf numFmtId="0" fontId="1" fillId="7" borderId="78" xfId="0" applyFont="1" applyFill="1" applyBorder="1"/>
    <xf numFmtId="168" fontId="1" fillId="7" borderId="8" xfId="0" applyNumberFormat="1" applyFont="1" applyFill="1" applyBorder="1"/>
    <xf numFmtId="168" fontId="1" fillId="7" borderId="77" xfId="0" applyNumberFormat="1" applyFont="1" applyFill="1" applyBorder="1"/>
    <xf numFmtId="168" fontId="1" fillId="0" borderId="8" xfId="0" applyNumberFormat="1" applyFont="1" applyBorder="1"/>
    <xf numFmtId="168" fontId="1" fillId="0" borderId="77" xfId="0" applyNumberFormat="1" applyFont="1" applyBorder="1"/>
    <xf numFmtId="168" fontId="1" fillId="7" borderId="22" xfId="0" applyNumberFormat="1" applyFont="1" applyFill="1" applyBorder="1"/>
    <xf numFmtId="168" fontId="1" fillId="7" borderId="79" xfId="0" applyNumberFormat="1" applyFont="1" applyFill="1" applyBorder="1"/>
    <xf numFmtId="0" fontId="1" fillId="47" borderId="61" xfId="0" applyFont="1" applyFill="1" applyBorder="1" applyAlignment="1" applyProtection="1">
      <alignment horizontal="left" vertical="center" indent="1"/>
      <protection hidden="1"/>
    </xf>
    <xf numFmtId="0" fontId="1" fillId="47" borderId="62" xfId="0" applyFont="1" applyFill="1" applyBorder="1" applyAlignment="1" applyProtection="1">
      <alignment horizontal="left" vertical="center" indent="1"/>
      <protection hidden="1"/>
    </xf>
    <xf numFmtId="0" fontId="1" fillId="47" borderId="63" xfId="0" applyFont="1" applyFill="1" applyBorder="1" applyAlignment="1" applyProtection="1">
      <alignment horizontal="left" vertical="center" indent="1"/>
      <protection hidden="1"/>
    </xf>
    <xf numFmtId="0" fontId="2" fillId="2" borderId="0" xfId="0" applyFont="1" applyFill="1" applyAlignment="1" applyProtection="1">
      <alignment horizontal="left"/>
      <protection hidden="1"/>
    </xf>
    <xf numFmtId="0" fontId="3" fillId="3" borderId="0" xfId="0" applyFont="1" applyFill="1" applyAlignment="1" applyProtection="1">
      <alignment horizontal="left"/>
      <protection hidden="1"/>
    </xf>
    <xf numFmtId="0" fontId="38" fillId="0" borderId="0" xfId="267" applyFont="1" applyAlignment="1" applyProtection="1">
      <alignment horizontal="left"/>
      <protection hidden="1"/>
    </xf>
    <xf numFmtId="0" fontId="36" fillId="50" borderId="60" xfId="0" applyFont="1" applyFill="1" applyBorder="1" applyAlignment="1" applyProtection="1">
      <alignment horizontal="left" vertical="center" wrapText="1" indent="2"/>
      <protection hidden="1"/>
    </xf>
    <xf numFmtId="0" fontId="38" fillId="0" borderId="0" xfId="267" applyFont="1" applyAlignment="1">
      <alignment horizontal="left"/>
    </xf>
    <xf numFmtId="0" fontId="0" fillId="45" borderId="34" xfId="0" applyFill="1" applyBorder="1" applyAlignment="1" applyProtection="1">
      <alignment horizontal="left" vertical="top" wrapText="1"/>
      <protection hidden="1"/>
    </xf>
    <xf numFmtId="0" fontId="0" fillId="45" borderId="35" xfId="0" applyFill="1" applyBorder="1" applyAlignment="1" applyProtection="1">
      <alignment horizontal="left" vertical="top" wrapText="1"/>
      <protection hidden="1"/>
    </xf>
    <xf numFmtId="0" fontId="0" fillId="45" borderId="36" xfId="0" applyFill="1" applyBorder="1" applyAlignment="1" applyProtection="1">
      <alignment horizontal="left" vertical="top" wrapText="1"/>
      <protection hidden="1"/>
    </xf>
    <xf numFmtId="0" fontId="0" fillId="45" borderId="39" xfId="0" applyFill="1" applyBorder="1" applyAlignment="1" applyProtection="1">
      <alignment horizontal="left" vertical="top" wrapText="1"/>
      <protection hidden="1"/>
    </xf>
    <xf numFmtId="0" fontId="0" fillId="45" borderId="40" xfId="0" applyFill="1" applyBorder="1" applyAlignment="1" applyProtection="1">
      <alignment horizontal="left" vertical="top" wrapText="1"/>
      <protection hidden="1"/>
    </xf>
    <xf numFmtId="0" fontId="0" fillId="45" borderId="41" xfId="0" applyFill="1" applyBorder="1" applyAlignment="1" applyProtection="1">
      <alignment horizontal="left" vertical="top" wrapText="1"/>
      <protection hidden="1"/>
    </xf>
    <xf numFmtId="3" fontId="43" fillId="4" borderId="2" xfId="0" applyNumberFormat="1" applyFont="1" applyFill="1" applyBorder="1" applyAlignment="1" applyProtection="1">
      <alignment horizontal="left" vertical="top" wrapText="1" shrinkToFit="1"/>
      <protection locked="0" hidden="1"/>
    </xf>
    <xf numFmtId="3" fontId="43" fillId="4" borderId="51" xfId="0" applyNumberFormat="1" applyFont="1" applyFill="1" applyBorder="1" applyAlignment="1" applyProtection="1">
      <alignment horizontal="left" vertical="top" wrapText="1" shrinkToFit="1"/>
      <protection locked="0" hidden="1"/>
    </xf>
    <xf numFmtId="3" fontId="43" fillId="4" borderId="3" xfId="0" applyNumberFormat="1" applyFont="1" applyFill="1" applyBorder="1" applyAlignment="1" applyProtection="1">
      <alignment horizontal="left" vertical="top" wrapText="1" shrinkToFit="1"/>
      <protection locked="0" hidden="1"/>
    </xf>
    <xf numFmtId="0" fontId="0" fillId="45" borderId="37" xfId="0" applyFill="1" applyBorder="1" applyAlignment="1" applyProtection="1">
      <alignment horizontal="left" vertical="top" wrapText="1"/>
      <protection hidden="1"/>
    </xf>
    <xf numFmtId="0" fontId="0" fillId="45" borderId="0" xfId="0" applyFill="1" applyAlignment="1" applyProtection="1">
      <alignment horizontal="left" vertical="top" wrapText="1"/>
      <protection hidden="1"/>
    </xf>
    <xf numFmtId="0" fontId="0" fillId="45" borderId="38" xfId="0" applyFill="1" applyBorder="1" applyAlignment="1" applyProtection="1">
      <alignment horizontal="left" vertical="top" wrapText="1"/>
      <protection hidden="1"/>
    </xf>
    <xf numFmtId="0" fontId="0" fillId="45" borderId="48" xfId="0" applyFill="1" applyBorder="1" applyAlignment="1" applyProtection="1">
      <alignment horizontal="left" vertical="top" wrapText="1"/>
      <protection hidden="1"/>
    </xf>
    <xf numFmtId="0" fontId="0" fillId="45" borderId="49" xfId="0" applyFill="1" applyBorder="1" applyAlignment="1" applyProtection="1">
      <alignment horizontal="left" vertical="top" wrapText="1"/>
      <protection hidden="1"/>
    </xf>
    <xf numFmtId="0" fontId="0" fillId="45" borderId="50" xfId="0" applyFill="1" applyBorder="1" applyAlignment="1" applyProtection="1">
      <alignment horizontal="left" vertical="top" wrapText="1"/>
      <protection hidden="1"/>
    </xf>
    <xf numFmtId="0" fontId="43" fillId="4" borderId="2" xfId="0" applyFont="1" applyFill="1" applyBorder="1" applyAlignment="1" applyProtection="1">
      <alignment horizontal="left" vertical="top" wrapText="1" shrinkToFit="1"/>
      <protection locked="0" hidden="1"/>
    </xf>
    <xf numFmtId="0" fontId="43" fillId="4" borderId="51" xfId="0" applyFont="1" applyFill="1" applyBorder="1" applyAlignment="1" applyProtection="1">
      <alignment horizontal="left" vertical="top" wrapText="1" shrinkToFit="1"/>
      <protection locked="0" hidden="1"/>
    </xf>
    <xf numFmtId="0" fontId="43" fillId="4" borderId="3" xfId="0" applyFont="1" applyFill="1" applyBorder="1" applyAlignment="1" applyProtection="1">
      <alignment horizontal="left" vertical="top" wrapText="1" shrinkToFit="1"/>
      <protection locked="0" hidden="1"/>
    </xf>
    <xf numFmtId="0" fontId="43" fillId="4" borderId="13" xfId="0" applyFont="1" applyFill="1" applyBorder="1" applyAlignment="1" applyProtection="1">
      <alignment horizontal="left" vertical="top" wrapText="1" shrinkToFit="1"/>
      <protection locked="0" hidden="1"/>
    </xf>
    <xf numFmtId="0" fontId="43" fillId="4" borderId="14" xfId="0" applyFont="1" applyFill="1" applyBorder="1" applyAlignment="1" applyProtection="1">
      <alignment horizontal="left" vertical="top" wrapText="1" shrinkToFit="1"/>
      <protection locked="0" hidden="1"/>
    </xf>
    <xf numFmtId="0" fontId="43" fillId="4" borderId="15" xfId="0" applyFont="1" applyFill="1" applyBorder="1" applyAlignment="1" applyProtection="1">
      <alignment horizontal="left" vertical="top" wrapText="1" shrinkToFit="1"/>
      <protection locked="0" hidden="1"/>
    </xf>
    <xf numFmtId="0" fontId="43" fillId="4" borderId="46" xfId="0" applyFont="1" applyFill="1" applyBorder="1" applyAlignment="1" applyProtection="1">
      <alignment horizontal="left" vertical="top" wrapText="1" shrinkToFit="1"/>
      <protection locked="0" hidden="1"/>
    </xf>
    <xf numFmtId="0" fontId="43" fillId="4" borderId="0" xfId="0" applyFont="1" applyFill="1" applyAlignment="1" applyProtection="1">
      <alignment horizontal="left" vertical="top" wrapText="1" shrinkToFit="1"/>
      <protection locked="0" hidden="1"/>
    </xf>
    <xf numFmtId="0" fontId="43" fillId="4" borderId="47" xfId="0" applyFont="1" applyFill="1" applyBorder="1" applyAlignment="1" applyProtection="1">
      <alignment horizontal="left" vertical="top" wrapText="1" shrinkToFit="1"/>
      <protection locked="0" hidden="1"/>
    </xf>
    <xf numFmtId="0" fontId="43" fillId="4" borderId="16" xfId="0" applyFont="1" applyFill="1" applyBorder="1" applyAlignment="1" applyProtection="1">
      <alignment horizontal="left" vertical="top" wrapText="1" shrinkToFit="1"/>
      <protection locked="0" hidden="1"/>
    </xf>
    <xf numFmtId="0" fontId="43" fillId="4" borderId="17" xfId="0" applyFont="1" applyFill="1" applyBorder="1" applyAlignment="1" applyProtection="1">
      <alignment horizontal="left" vertical="top" wrapText="1" shrinkToFit="1"/>
      <protection locked="0" hidden="1"/>
    </xf>
    <xf numFmtId="0" fontId="43" fillId="4" borderId="18" xfId="0" applyFont="1" applyFill="1" applyBorder="1" applyAlignment="1" applyProtection="1">
      <alignment horizontal="left" vertical="top" wrapText="1" shrinkToFit="1"/>
      <protection locked="0" hidden="1"/>
    </xf>
    <xf numFmtId="0" fontId="0" fillId="45" borderId="37" xfId="0" applyFill="1" applyBorder="1" applyAlignment="1" applyProtection="1">
      <alignment horizontal="left" vertical="top" wrapText="1" indent="1"/>
      <protection hidden="1"/>
    </xf>
    <xf numFmtId="0" fontId="0" fillId="45" borderId="0" xfId="0" applyFill="1" applyAlignment="1" applyProtection="1">
      <alignment horizontal="left" vertical="top" wrapText="1" indent="1"/>
      <protection hidden="1"/>
    </xf>
    <xf numFmtId="0" fontId="0" fillId="45" borderId="38" xfId="0" applyFill="1" applyBorder="1" applyAlignment="1" applyProtection="1">
      <alignment horizontal="left" vertical="top" wrapText="1" indent="1"/>
      <protection hidden="1"/>
    </xf>
    <xf numFmtId="0" fontId="35" fillId="49" borderId="0" xfId="0" applyFont="1" applyFill="1" applyAlignment="1" applyProtection="1">
      <alignment horizontal="left"/>
      <protection hidden="1"/>
    </xf>
    <xf numFmtId="0" fontId="3" fillId="48" borderId="0" xfId="0" applyFont="1" applyFill="1" applyAlignment="1" applyProtection="1">
      <alignment horizontal="left"/>
      <protection hidden="1"/>
    </xf>
    <xf numFmtId="166" fontId="0" fillId="0" borderId="0" xfId="0" applyNumberFormat="1" applyAlignment="1">
      <alignment horizontal="center"/>
    </xf>
    <xf numFmtId="0" fontId="0" fillId="0" borderId="0" xfId="0" applyAlignment="1">
      <alignment horizontal="left" vertical="top" wrapText="1"/>
    </xf>
    <xf numFmtId="0" fontId="0" fillId="0" borderId="0" xfId="0" applyAlignment="1">
      <alignment horizontal="left" wrapText="1"/>
    </xf>
    <xf numFmtId="0" fontId="1" fillId="47" borderId="61" xfId="0" applyFont="1" applyFill="1" applyBorder="1" applyAlignment="1" applyProtection="1">
      <alignment horizontal="left" vertical="center" wrapText="1" indent="1"/>
      <protection hidden="1"/>
    </xf>
    <xf numFmtId="0" fontId="1" fillId="47" borderId="62" xfId="0" applyFont="1" applyFill="1" applyBorder="1" applyAlignment="1" applyProtection="1">
      <alignment horizontal="left" vertical="center" wrapText="1" indent="1"/>
      <protection hidden="1"/>
    </xf>
    <xf numFmtId="0" fontId="1" fillId="47" borderId="63" xfId="0" applyFont="1" applyFill="1" applyBorder="1" applyAlignment="1" applyProtection="1">
      <alignment horizontal="left" vertical="center" wrapText="1" indent="1"/>
      <protection hidden="1"/>
    </xf>
    <xf numFmtId="167" fontId="43" fillId="4" borderId="2" xfId="0" applyNumberFormat="1" applyFont="1" applyFill="1" applyBorder="1" applyAlignment="1" applyProtection="1">
      <alignment horizontal="left" vertical="top" wrapText="1" shrinkToFit="1"/>
      <protection locked="0" hidden="1"/>
    </xf>
    <xf numFmtId="167" fontId="43" fillId="4" borderId="51" xfId="0" applyNumberFormat="1" applyFont="1" applyFill="1" applyBorder="1" applyAlignment="1" applyProtection="1">
      <alignment horizontal="left" vertical="top" wrapText="1" shrinkToFit="1"/>
      <protection locked="0" hidden="1"/>
    </xf>
    <xf numFmtId="167" fontId="43" fillId="4" borderId="3" xfId="0" applyNumberFormat="1" applyFont="1" applyFill="1" applyBorder="1" applyAlignment="1" applyProtection="1">
      <alignment horizontal="left" vertical="top" wrapText="1" shrinkToFit="1"/>
      <protection locked="0" hidden="1"/>
    </xf>
    <xf numFmtId="0" fontId="0" fillId="45" borderId="39" xfId="0" applyFill="1" applyBorder="1" applyAlignment="1" applyProtection="1">
      <alignment horizontal="left" vertical="top" wrapText="1" indent="1"/>
      <protection hidden="1"/>
    </xf>
    <xf numFmtId="0" fontId="0" fillId="45" borderId="40" xfId="0" applyFill="1" applyBorder="1" applyAlignment="1" applyProtection="1">
      <alignment horizontal="left" vertical="top" wrapText="1" indent="1"/>
      <protection hidden="1"/>
    </xf>
    <xf numFmtId="0" fontId="9" fillId="10" borderId="0" xfId="0" applyFont="1" applyFill="1" applyAlignment="1" applyProtection="1">
      <alignment horizontal="left"/>
      <protection hidden="1"/>
    </xf>
    <xf numFmtId="0" fontId="3" fillId="11" borderId="0" xfId="0" applyFont="1" applyFill="1" applyAlignment="1" applyProtection="1">
      <alignment horizontal="left"/>
      <protection hidden="1"/>
    </xf>
    <xf numFmtId="0" fontId="0" fillId="44" borderId="53" xfId="0" applyFill="1" applyBorder="1" applyAlignment="1" applyProtection="1">
      <alignment horizontal="left" vertical="top" wrapText="1"/>
      <protection hidden="1"/>
    </xf>
    <xf numFmtId="0" fontId="0" fillId="44" borderId="54" xfId="0" applyFill="1" applyBorder="1" applyAlignment="1" applyProtection="1">
      <alignment horizontal="left" vertical="top" wrapText="1"/>
      <protection hidden="1"/>
    </xf>
    <xf numFmtId="0" fontId="0" fillId="44" borderId="55" xfId="0" applyFill="1" applyBorder="1" applyAlignment="1" applyProtection="1">
      <alignment horizontal="left" vertical="top" wrapText="1"/>
      <protection hidden="1"/>
    </xf>
    <xf numFmtId="0" fontId="0" fillId="44" borderId="52" xfId="0" applyFill="1" applyBorder="1" applyAlignment="1" applyProtection="1">
      <alignment horizontal="left" vertical="top" wrapText="1"/>
      <protection hidden="1"/>
    </xf>
    <xf numFmtId="0" fontId="0" fillId="44" borderId="0" xfId="0" applyFill="1" applyAlignment="1" applyProtection="1">
      <alignment horizontal="left" vertical="top" wrapText="1"/>
      <protection hidden="1"/>
    </xf>
    <xf numFmtId="0" fontId="0" fillId="44" borderId="56" xfId="0" applyFill="1" applyBorder="1" applyAlignment="1" applyProtection="1">
      <alignment horizontal="left" vertical="top" wrapText="1"/>
      <protection hidden="1"/>
    </xf>
    <xf numFmtId="0" fontId="0" fillId="44" borderId="57" xfId="0" applyFill="1" applyBorder="1" applyAlignment="1" applyProtection="1">
      <alignment horizontal="left" vertical="top" wrapText="1"/>
      <protection hidden="1"/>
    </xf>
    <xf numFmtId="0" fontId="0" fillId="44" borderId="58" xfId="0" applyFill="1" applyBorder="1" applyAlignment="1" applyProtection="1">
      <alignment horizontal="left" vertical="top" wrapText="1"/>
      <protection hidden="1"/>
    </xf>
    <xf numFmtId="0" fontId="0" fillId="44" borderId="59" xfId="0" applyFill="1" applyBorder="1" applyAlignment="1" applyProtection="1">
      <alignment horizontal="left" vertical="top" wrapText="1"/>
      <protection hidden="1"/>
    </xf>
    <xf numFmtId="169" fontId="43" fillId="4" borderId="2" xfId="0" applyNumberFormat="1" applyFont="1" applyFill="1" applyBorder="1" applyAlignment="1" applyProtection="1">
      <alignment horizontal="left" vertical="top" wrapText="1" shrinkToFit="1"/>
      <protection locked="0" hidden="1"/>
    </xf>
    <xf numFmtId="169" fontId="43" fillId="4" borderId="51" xfId="0" applyNumberFormat="1" applyFont="1" applyFill="1" applyBorder="1" applyAlignment="1" applyProtection="1">
      <alignment horizontal="left" vertical="top" wrapText="1" shrinkToFit="1"/>
      <protection locked="0" hidden="1"/>
    </xf>
    <xf numFmtId="169" fontId="43" fillId="4" borderId="3" xfId="0" applyNumberFormat="1" applyFont="1" applyFill="1" applyBorder="1" applyAlignment="1" applyProtection="1">
      <alignment horizontal="left" vertical="top" wrapText="1" shrinkToFit="1"/>
      <protection locked="0" hidden="1"/>
    </xf>
    <xf numFmtId="0" fontId="1" fillId="0" borderId="0" xfId="0" applyFont="1" applyAlignment="1" applyProtection="1">
      <alignment horizontal="left" vertical="top" wrapText="1"/>
      <protection hidden="1"/>
    </xf>
    <xf numFmtId="0" fontId="0" fillId="0" borderId="0" xfId="0" applyAlignment="1" applyProtection="1">
      <alignment horizontal="left" vertical="top" wrapText="1"/>
      <protection hidden="1"/>
    </xf>
  </cellXfs>
  <cellStyles count="228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119" xr:uid="{156ACDF0-19E6-4891-BC07-679ED6ECF37B}"/>
    <cellStyle name="Comma 2 10" xfId="568" xr:uid="{05788228-9564-46B0-8FED-EB1A01BC2419}"/>
    <cellStyle name="Comma 2 10 2" xfId="1016" xr:uid="{2243CE51-2C84-4161-B509-A8041C91AACF}"/>
    <cellStyle name="Comma 2 10 2 2" xfId="2136" xr:uid="{A523FCC0-3CCF-4B59-8AA5-E0FC957C8188}"/>
    <cellStyle name="Comma 2 10 3" xfId="1688" xr:uid="{2D538ABE-77F1-41CA-BF15-547AE774BCAC}"/>
    <cellStyle name="Comma 2 11" xfId="344" xr:uid="{E94BC9C5-CA9A-499D-BA78-49F0030A373E}"/>
    <cellStyle name="Comma 2 11 2" xfId="1464" xr:uid="{2310437D-A77B-4A5B-AC6C-B99C55E6F1FF}"/>
    <cellStyle name="Comma 2 12" xfId="792" xr:uid="{5A30A01C-A22F-4E41-82CD-1611758253B5}"/>
    <cellStyle name="Comma 2 12 2" xfId="1912" xr:uid="{06044904-178B-46F0-85DC-38B122A5F93D}"/>
    <cellStyle name="Comma 2 13" xfId="1240" xr:uid="{C30D7CEC-0412-46BC-AF73-70222032887F}"/>
    <cellStyle name="Comma 2 2" xfId="42" xr:uid="{AAF96BCD-CC56-4FDC-9EF5-74EC8D27BEC4}"/>
    <cellStyle name="Comma 2 2 10" xfId="268" xr:uid="{6C147306-6A96-4DFE-9113-BD7DC6EC0F45}"/>
    <cellStyle name="Comma 2 2 10 2" xfId="1388" xr:uid="{28EE1FCF-2DD2-4F85-A1FD-5BB991F275BF}"/>
    <cellStyle name="Comma 2 2 11" xfId="716" xr:uid="{B551673C-3731-4AAB-924F-F0DD3C8A6C38}"/>
    <cellStyle name="Comma 2 2 11 2" xfId="1836" xr:uid="{0484C96D-B79F-4101-AB4A-245EE4C62101}"/>
    <cellStyle name="Comma 2 2 12" xfId="1164" xr:uid="{A099CDE4-EF95-4AA9-8BBC-30DB294584B1}"/>
    <cellStyle name="Comma 2 2 2" xfId="44" xr:uid="{B60A7A3A-EC19-43B8-82FF-70AC86C8A1B3}"/>
    <cellStyle name="Comma 2 2 2 10" xfId="1166" xr:uid="{EFD090E7-878A-417A-9528-2BF1B2BCF26D}"/>
    <cellStyle name="Comma 2 2 2 2" xfId="50" xr:uid="{677FE0E9-2DD6-44BF-8FA0-C985CAE83B60}"/>
    <cellStyle name="Comma 2 2 2 2 2" xfId="62" xr:uid="{2FA6A1DA-F49E-4808-8072-F102F8E326F5}"/>
    <cellStyle name="Comma 2 2 2 2 2 2" xfId="85" xr:uid="{DEDD5FA5-D345-4686-9C89-B06A219E21AC}"/>
    <cellStyle name="Comma 2 2 2 2 2 2 2" xfId="140" xr:uid="{B5DCD80C-3391-4FD1-836C-DBEAEEDF6940}"/>
    <cellStyle name="Comma 2 2 2 2 2 2 2 2" xfId="252" xr:uid="{D823C9C1-B224-40BA-A161-E3DCFBA0C149}"/>
    <cellStyle name="Comma 2 2 2 2 2 2 2 2 2" xfId="701" xr:uid="{2D752E32-679D-443D-B72D-84B63066AB8D}"/>
    <cellStyle name="Comma 2 2 2 2 2 2 2 2 2 2" xfId="1149" xr:uid="{96D16AFF-68EC-4DA4-9489-7CB85CE83AF5}"/>
    <cellStyle name="Comma 2 2 2 2 2 2 2 2 2 2 2" xfId="2269" xr:uid="{9E81E8D0-D7E5-4E23-A4DD-B52C428D6C6E}"/>
    <cellStyle name="Comma 2 2 2 2 2 2 2 2 2 3" xfId="1821" xr:uid="{258F1834-47CA-485E-AE15-13B38F8E1809}"/>
    <cellStyle name="Comma 2 2 2 2 2 2 2 2 3" xfId="477" xr:uid="{102945E0-5374-4EAC-8621-E8D4D6C20BD0}"/>
    <cellStyle name="Comma 2 2 2 2 2 2 2 2 3 2" xfId="1597" xr:uid="{826A3014-CA76-4094-A6A2-3F828839667A}"/>
    <cellStyle name="Comma 2 2 2 2 2 2 2 2 4" xfId="925" xr:uid="{08B5B5CF-33B1-4008-BA10-BF8E67E30DCC}"/>
    <cellStyle name="Comma 2 2 2 2 2 2 2 2 4 2" xfId="2045" xr:uid="{67BC321F-4D09-4DED-8C09-411B6E2D89CC}"/>
    <cellStyle name="Comma 2 2 2 2 2 2 2 2 5" xfId="1373" xr:uid="{D22E7317-9FC8-4D8D-B38A-CC23519795F6}"/>
    <cellStyle name="Comma 2 2 2 2 2 2 2 3" xfId="589" xr:uid="{666EC70F-E251-45FC-8112-7F348ABF26E2}"/>
    <cellStyle name="Comma 2 2 2 2 2 2 2 3 2" xfId="1037" xr:uid="{80A24D97-C6E1-428F-9E4B-FC1107574A82}"/>
    <cellStyle name="Comma 2 2 2 2 2 2 2 3 2 2" xfId="2157" xr:uid="{51F5EA4C-BA41-4913-8FFE-7BB1390D2CB2}"/>
    <cellStyle name="Comma 2 2 2 2 2 2 2 3 3" xfId="1709" xr:uid="{A5C4E105-62F8-4354-B89A-BD0ACC76F1A4}"/>
    <cellStyle name="Comma 2 2 2 2 2 2 2 4" xfId="365" xr:uid="{EC731BFA-BC84-4B08-B0C0-C115B64A0B1B}"/>
    <cellStyle name="Comma 2 2 2 2 2 2 2 4 2" xfId="1485" xr:uid="{B5F10168-B35F-4742-B09B-FDC30F79179A}"/>
    <cellStyle name="Comma 2 2 2 2 2 2 2 5" xfId="813" xr:uid="{CC96EE47-B4CF-4558-BC31-EC79737FC860}"/>
    <cellStyle name="Comma 2 2 2 2 2 2 2 5 2" xfId="1933" xr:uid="{53F5681D-2F4D-4645-92BD-18D9B65D7434}"/>
    <cellStyle name="Comma 2 2 2 2 2 2 2 6" xfId="1261" xr:uid="{AAE9EFA1-C9A4-4451-8C2D-96F17616714A}"/>
    <cellStyle name="Comma 2 2 2 2 2 2 3" xfId="198" xr:uid="{4610C5EA-0CFC-49AA-897C-1C5A358B05F7}"/>
    <cellStyle name="Comma 2 2 2 2 2 2 3 2" xfId="647" xr:uid="{9B7E1BCB-B9D5-4ED8-8A23-A347CCCCD21E}"/>
    <cellStyle name="Comma 2 2 2 2 2 2 3 2 2" xfId="1095" xr:uid="{1AE6D419-A901-40E8-A11D-F238663C0EF4}"/>
    <cellStyle name="Comma 2 2 2 2 2 2 3 2 2 2" xfId="2215" xr:uid="{3146B1EE-3D99-4979-BEE9-C1FD66F2E365}"/>
    <cellStyle name="Comma 2 2 2 2 2 2 3 2 3" xfId="1767" xr:uid="{4EC087E2-D590-4D0D-8B4A-9C50A5428CA2}"/>
    <cellStyle name="Comma 2 2 2 2 2 2 3 3" xfId="423" xr:uid="{C1DE727F-D2C2-498E-9A9A-5A3CCF390291}"/>
    <cellStyle name="Comma 2 2 2 2 2 2 3 3 2" xfId="1543" xr:uid="{3369BCD4-82D2-47DF-9544-4BF417F0E20A}"/>
    <cellStyle name="Comma 2 2 2 2 2 2 3 4" xfId="871" xr:uid="{BBD0ED85-0F23-4D9F-A142-C73189861200}"/>
    <cellStyle name="Comma 2 2 2 2 2 2 3 4 2" xfId="1991" xr:uid="{EE9B10A1-063C-4E9A-9685-A080C5DDA5ED}"/>
    <cellStyle name="Comma 2 2 2 2 2 2 3 5" xfId="1319" xr:uid="{25D4CC40-6D3F-472E-9B03-EA034F29A0DF}"/>
    <cellStyle name="Comma 2 2 2 2 2 2 4" xfId="535" xr:uid="{0FCF54AD-ECDA-44AF-B5A2-7C29C536473E}"/>
    <cellStyle name="Comma 2 2 2 2 2 2 4 2" xfId="983" xr:uid="{17847622-485E-4832-84ED-E7E5B0616582}"/>
    <cellStyle name="Comma 2 2 2 2 2 2 4 2 2" xfId="2103" xr:uid="{17C5E25B-B2AF-498E-895F-761E445E05F4}"/>
    <cellStyle name="Comma 2 2 2 2 2 2 4 3" xfId="1655" xr:uid="{275A751A-535E-44C2-A0F7-5A8CB46296C9}"/>
    <cellStyle name="Comma 2 2 2 2 2 2 5" xfId="311" xr:uid="{93DB2271-48D5-479C-BBD0-4566D19008B3}"/>
    <cellStyle name="Comma 2 2 2 2 2 2 5 2" xfId="1431" xr:uid="{11C2E108-DB49-4850-BC28-E42FA84D26CD}"/>
    <cellStyle name="Comma 2 2 2 2 2 2 6" xfId="759" xr:uid="{6AD40DDA-5C7A-4AA5-9EC9-81D1EA1A0D7B}"/>
    <cellStyle name="Comma 2 2 2 2 2 2 6 2" xfId="1879" xr:uid="{4518DA58-0660-43BF-A798-78F1D9453FBA}"/>
    <cellStyle name="Comma 2 2 2 2 2 2 7" xfId="1207" xr:uid="{31A0A0C9-099D-45DD-B826-E44723D75586}"/>
    <cellStyle name="Comma 2 2 2 2 2 3" xfId="114" xr:uid="{B21CC6A5-4F1B-444C-8548-B62E6BC74B2F}"/>
    <cellStyle name="Comma 2 2 2 2 2 3 2" xfId="227" xr:uid="{55E9FC4B-FFF8-42BA-9E7E-D539429FA33E}"/>
    <cellStyle name="Comma 2 2 2 2 2 3 2 2" xfId="676" xr:uid="{F4F0B705-05FA-4582-9882-EED3150BBA3F}"/>
    <cellStyle name="Comma 2 2 2 2 2 3 2 2 2" xfId="1124" xr:uid="{763B7358-5EC1-473E-9DB1-41D48D7844DE}"/>
    <cellStyle name="Comma 2 2 2 2 2 3 2 2 2 2" xfId="2244" xr:uid="{3D4BEBDC-A4AF-4AAB-A80A-D689293CA7ED}"/>
    <cellStyle name="Comma 2 2 2 2 2 3 2 2 3" xfId="1796" xr:uid="{CABF8831-2BB5-47D6-A79A-CBE71FCD8B39}"/>
    <cellStyle name="Comma 2 2 2 2 2 3 2 3" xfId="452" xr:uid="{5BE16A2C-23E5-4749-8A9F-A0061C43EE0A}"/>
    <cellStyle name="Comma 2 2 2 2 2 3 2 3 2" xfId="1572" xr:uid="{B877E4AE-FB69-4F64-A9D9-21728F3255C4}"/>
    <cellStyle name="Comma 2 2 2 2 2 3 2 4" xfId="900" xr:uid="{B67BD62F-CC02-4875-BD77-5AE196AB623F}"/>
    <cellStyle name="Comma 2 2 2 2 2 3 2 4 2" xfId="2020" xr:uid="{FBF68F8C-16EE-4BF5-B9D0-2B448BE821D3}"/>
    <cellStyle name="Comma 2 2 2 2 2 3 2 5" xfId="1348" xr:uid="{4BA4E876-F5A8-4B39-897E-0930AE70D99F}"/>
    <cellStyle name="Comma 2 2 2 2 2 3 3" xfId="564" xr:uid="{D7A07307-162E-4741-8CF9-8D73FAB80379}"/>
    <cellStyle name="Comma 2 2 2 2 2 3 3 2" xfId="1012" xr:uid="{D2B73272-3748-470A-9AA2-0E560B5936A2}"/>
    <cellStyle name="Comma 2 2 2 2 2 3 3 2 2" xfId="2132" xr:uid="{3CCCB404-8898-4893-90C9-CC2C3A6C3C63}"/>
    <cellStyle name="Comma 2 2 2 2 2 3 3 3" xfId="1684" xr:uid="{BA524368-5CA9-409F-8D78-F61C5B28EDCD}"/>
    <cellStyle name="Comma 2 2 2 2 2 3 4" xfId="340" xr:uid="{58FCFEE7-47DE-41BD-ABDD-121F61DB19A4}"/>
    <cellStyle name="Comma 2 2 2 2 2 3 4 2" xfId="1460" xr:uid="{0BF55419-FFAD-4836-BE1E-7E5A2355A377}"/>
    <cellStyle name="Comma 2 2 2 2 2 3 5" xfId="788" xr:uid="{FDDFE061-F7D3-4654-BB2B-6E1065BF9161}"/>
    <cellStyle name="Comma 2 2 2 2 2 3 5 2" xfId="1908" xr:uid="{88A75CE8-39FC-4A95-BD22-C7783DE1943B}"/>
    <cellStyle name="Comma 2 2 2 2 2 3 6" xfId="1236" xr:uid="{7D38E4F1-4478-4679-87EA-7CC16D059F02}"/>
    <cellStyle name="Comma 2 2 2 2 2 4" xfId="175" xr:uid="{10EC1E41-F0B8-4E72-9E27-1D41408FA97F}"/>
    <cellStyle name="Comma 2 2 2 2 2 4 2" xfId="624" xr:uid="{BFAE0A34-E641-47FB-A549-38EA0FB2DA84}"/>
    <cellStyle name="Comma 2 2 2 2 2 4 2 2" xfId="1072" xr:uid="{3198CFDF-FE8E-4C95-BD5F-5E2F90F118CB}"/>
    <cellStyle name="Comma 2 2 2 2 2 4 2 2 2" xfId="2192" xr:uid="{74BB01EC-92E4-4EE9-9F3A-12CF02A92743}"/>
    <cellStyle name="Comma 2 2 2 2 2 4 2 3" xfId="1744" xr:uid="{F672078C-B77F-4502-A847-567CFA2939B1}"/>
    <cellStyle name="Comma 2 2 2 2 2 4 3" xfId="400" xr:uid="{3985F5D0-917F-4066-9987-94E4837BA11F}"/>
    <cellStyle name="Comma 2 2 2 2 2 4 3 2" xfId="1520" xr:uid="{5F0CE222-EAA5-46E9-B30A-8720AF5CA317}"/>
    <cellStyle name="Comma 2 2 2 2 2 4 4" xfId="848" xr:uid="{D746A3E2-CF6B-4907-A33C-E4C9399D1908}"/>
    <cellStyle name="Comma 2 2 2 2 2 4 4 2" xfId="1968" xr:uid="{83360510-DA86-451E-821E-A4735FBC0FB8}"/>
    <cellStyle name="Comma 2 2 2 2 2 4 5" xfId="1296" xr:uid="{9512561F-9C40-4403-A890-A72C9A21990F}"/>
    <cellStyle name="Comma 2 2 2 2 2 5" xfId="512" xr:uid="{C40760C5-17A2-4550-A6CF-3211D98DFD89}"/>
    <cellStyle name="Comma 2 2 2 2 2 5 2" xfId="960" xr:uid="{A930C105-1F6A-4914-84F8-DAEF883605B3}"/>
    <cellStyle name="Comma 2 2 2 2 2 5 2 2" xfId="2080" xr:uid="{DEE0EE5F-C668-4940-8D16-7AE4E21CBCE4}"/>
    <cellStyle name="Comma 2 2 2 2 2 5 3" xfId="1632" xr:uid="{AAB749CD-A4D4-4C4A-8C9D-D7145EB22409}"/>
    <cellStyle name="Comma 2 2 2 2 2 6" xfId="288" xr:uid="{1917DE41-F0C1-44EB-BCAF-19DD0EDA5692}"/>
    <cellStyle name="Comma 2 2 2 2 2 6 2" xfId="1408" xr:uid="{3DBB43A9-374D-40AE-BC04-378E07819B58}"/>
    <cellStyle name="Comma 2 2 2 2 2 7" xfId="736" xr:uid="{E33E9212-129E-44D7-9237-00B8707363EB}"/>
    <cellStyle name="Comma 2 2 2 2 2 7 2" xfId="1856" xr:uid="{1EDB556F-C0F2-49C4-B087-CBBEB8498240}"/>
    <cellStyle name="Comma 2 2 2 2 2 8" xfId="1184" xr:uid="{FFDD1171-3894-448C-96E9-BC96B5D77BB8}"/>
    <cellStyle name="Comma 2 2 2 2 3" xfId="73" xr:uid="{1A3C5B4A-B6F0-4AB8-B287-267FE88597C9}"/>
    <cellStyle name="Comma 2 2 2 2 3 2" xfId="128" xr:uid="{B18DDC04-9F8D-4F21-B3A7-CCAA0F3D676C}"/>
    <cellStyle name="Comma 2 2 2 2 3 2 2" xfId="240" xr:uid="{BC38CA65-67DF-4F84-A6C9-EE054B9855A1}"/>
    <cellStyle name="Comma 2 2 2 2 3 2 2 2" xfId="689" xr:uid="{AC6A92A3-FF30-49AA-844B-01E1CA7F743E}"/>
    <cellStyle name="Comma 2 2 2 2 3 2 2 2 2" xfId="1137" xr:uid="{5E873642-3549-4B79-BD84-AB987E7B93FA}"/>
    <cellStyle name="Comma 2 2 2 2 3 2 2 2 2 2" xfId="2257" xr:uid="{27AA32E7-3C94-4E47-B2DC-0CBD9D49571A}"/>
    <cellStyle name="Comma 2 2 2 2 3 2 2 2 3" xfId="1809" xr:uid="{0B8AF5EC-70E2-4497-8C2F-338B64EFC6CA}"/>
    <cellStyle name="Comma 2 2 2 2 3 2 2 3" xfId="465" xr:uid="{EE6BA72F-9EDC-4CA8-BD51-669B77D48D78}"/>
    <cellStyle name="Comma 2 2 2 2 3 2 2 3 2" xfId="1585" xr:uid="{9311D277-916F-47AF-92B3-4513008802D2}"/>
    <cellStyle name="Comma 2 2 2 2 3 2 2 4" xfId="913" xr:uid="{F0940AD4-741B-400C-9D1B-7AB4D3222404}"/>
    <cellStyle name="Comma 2 2 2 2 3 2 2 4 2" xfId="2033" xr:uid="{0BED0CEA-71D8-4367-A0A8-4A42C2E9F612}"/>
    <cellStyle name="Comma 2 2 2 2 3 2 2 5" xfId="1361" xr:uid="{895D7CE8-5E35-43AA-A018-B05B3EA59ED6}"/>
    <cellStyle name="Comma 2 2 2 2 3 2 3" xfId="577" xr:uid="{4BE9419A-3423-4693-9548-6F349B789AD1}"/>
    <cellStyle name="Comma 2 2 2 2 3 2 3 2" xfId="1025" xr:uid="{1241383D-AC6B-44CC-8935-38F01EE4613E}"/>
    <cellStyle name="Comma 2 2 2 2 3 2 3 2 2" xfId="2145" xr:uid="{B6E6D64A-7C48-4400-BA6D-90AAC34BCC7E}"/>
    <cellStyle name="Comma 2 2 2 2 3 2 3 3" xfId="1697" xr:uid="{B20D9EC1-AA97-43CD-BA6F-43CEA7BB207B}"/>
    <cellStyle name="Comma 2 2 2 2 3 2 4" xfId="353" xr:uid="{399B5069-7560-445A-9528-F3E06F8382BD}"/>
    <cellStyle name="Comma 2 2 2 2 3 2 4 2" xfId="1473" xr:uid="{14959308-C884-4EA4-AD71-4D2A6D9F7C83}"/>
    <cellStyle name="Comma 2 2 2 2 3 2 5" xfId="801" xr:uid="{92146E82-45C0-413D-B117-45C7FFC93BE4}"/>
    <cellStyle name="Comma 2 2 2 2 3 2 5 2" xfId="1921" xr:uid="{CC273CED-6FCC-4386-B0F2-E38DE75E1232}"/>
    <cellStyle name="Comma 2 2 2 2 3 2 6" xfId="1249" xr:uid="{96D3FBEC-C309-46F4-AF4C-0600575D1A2B}"/>
    <cellStyle name="Comma 2 2 2 2 3 3" xfId="186" xr:uid="{43175B3B-CAA3-4591-9A49-99925654EF88}"/>
    <cellStyle name="Comma 2 2 2 2 3 3 2" xfId="635" xr:uid="{3C04C797-329A-496D-AC64-84255A114D8F}"/>
    <cellStyle name="Comma 2 2 2 2 3 3 2 2" xfId="1083" xr:uid="{8A7CC1CC-1F24-4A15-B631-358EDC084DE7}"/>
    <cellStyle name="Comma 2 2 2 2 3 3 2 2 2" xfId="2203" xr:uid="{307960C0-4B6C-48AE-8987-D0E6BAB512D5}"/>
    <cellStyle name="Comma 2 2 2 2 3 3 2 3" xfId="1755" xr:uid="{BAF88BC6-7F59-4CAF-A66F-1180DDF35E48}"/>
    <cellStyle name="Comma 2 2 2 2 3 3 3" xfId="411" xr:uid="{1BA31B3A-7A1F-4A73-80D6-4DF4D4CFBA56}"/>
    <cellStyle name="Comma 2 2 2 2 3 3 3 2" xfId="1531" xr:uid="{B42C8532-D60A-42B0-8EEF-6B6B6A831EED}"/>
    <cellStyle name="Comma 2 2 2 2 3 3 4" xfId="859" xr:uid="{49A627A1-EE46-4FA4-9C5A-9A5F45A85441}"/>
    <cellStyle name="Comma 2 2 2 2 3 3 4 2" xfId="1979" xr:uid="{8B2FEB1A-9DB6-448C-BD05-895730C36D94}"/>
    <cellStyle name="Comma 2 2 2 2 3 3 5" xfId="1307" xr:uid="{DFCAD594-5810-4295-8965-AFDFF5B8C299}"/>
    <cellStyle name="Comma 2 2 2 2 3 4" xfId="523" xr:uid="{ADF1B46A-1FB1-4734-BA64-3D13B3337A76}"/>
    <cellStyle name="Comma 2 2 2 2 3 4 2" xfId="971" xr:uid="{C751D49F-8B2D-4D8D-8849-7AA944060C51}"/>
    <cellStyle name="Comma 2 2 2 2 3 4 2 2" xfId="2091" xr:uid="{77E84E98-C0A0-433D-BA08-9697C2682C36}"/>
    <cellStyle name="Comma 2 2 2 2 3 4 3" xfId="1643" xr:uid="{B73F408A-F659-478B-A2BB-EDE3FBB3061B}"/>
    <cellStyle name="Comma 2 2 2 2 3 5" xfId="299" xr:uid="{A10CA5A8-207F-4FAE-9C81-648804E7E902}"/>
    <cellStyle name="Comma 2 2 2 2 3 5 2" xfId="1419" xr:uid="{71074459-C5F7-48F1-84B1-1F3043410A28}"/>
    <cellStyle name="Comma 2 2 2 2 3 6" xfId="747" xr:uid="{0FFA3B78-078B-4519-BA30-99C3A2D76808}"/>
    <cellStyle name="Comma 2 2 2 2 3 6 2" xfId="1867" xr:uid="{E0D92259-6B90-44C5-802D-D4F44F339053}"/>
    <cellStyle name="Comma 2 2 2 2 3 7" xfId="1195" xr:uid="{CDAE0449-78D5-4D24-A19C-AE219C49B022}"/>
    <cellStyle name="Comma 2 2 2 2 4" xfId="102" xr:uid="{D1139F3B-7C1B-4FA0-B1B8-8B9F334BD179}"/>
    <cellStyle name="Comma 2 2 2 2 4 2" xfId="215" xr:uid="{32C3A318-C5DB-4699-AC9C-7160D7E09637}"/>
    <cellStyle name="Comma 2 2 2 2 4 2 2" xfId="664" xr:uid="{95D486D0-AD83-427D-BB6A-A0E4869D9F31}"/>
    <cellStyle name="Comma 2 2 2 2 4 2 2 2" xfId="1112" xr:uid="{7246A4CC-E3F4-4CA9-8D19-8A31A2F78FF2}"/>
    <cellStyle name="Comma 2 2 2 2 4 2 2 2 2" xfId="2232" xr:uid="{E8E41659-1E74-4075-A1CA-30CC4A592F0A}"/>
    <cellStyle name="Comma 2 2 2 2 4 2 2 3" xfId="1784" xr:uid="{70662076-02AD-419A-80FF-7755F4BAB5C1}"/>
    <cellStyle name="Comma 2 2 2 2 4 2 3" xfId="440" xr:uid="{0FCD64E7-7E31-40BA-B78D-D7CBB921CD94}"/>
    <cellStyle name="Comma 2 2 2 2 4 2 3 2" xfId="1560" xr:uid="{93F1EDE0-B3D2-4BB7-B76A-1E76B82BAC5D}"/>
    <cellStyle name="Comma 2 2 2 2 4 2 4" xfId="888" xr:uid="{2C179A75-CD2E-498B-8B7B-1C306A3C534E}"/>
    <cellStyle name="Comma 2 2 2 2 4 2 4 2" xfId="2008" xr:uid="{98E0E687-EBE9-4B84-A9C4-9EBAAC83DA7B}"/>
    <cellStyle name="Comma 2 2 2 2 4 2 5" xfId="1336" xr:uid="{B956F09C-AA00-4AB7-A890-1485F4C8E16C}"/>
    <cellStyle name="Comma 2 2 2 2 4 3" xfId="552" xr:uid="{5BCDAB13-9C9E-46D3-9227-ED1A64D1ACF1}"/>
    <cellStyle name="Comma 2 2 2 2 4 3 2" xfId="1000" xr:uid="{5ADA8387-EDB0-49A9-878D-CF6034C79F47}"/>
    <cellStyle name="Comma 2 2 2 2 4 3 2 2" xfId="2120" xr:uid="{CE727363-978D-49B3-AE55-7D5A43D8628B}"/>
    <cellStyle name="Comma 2 2 2 2 4 3 3" xfId="1672" xr:uid="{28C034D8-D23E-427F-8CEA-FD9FBBBE6712}"/>
    <cellStyle name="Comma 2 2 2 2 4 4" xfId="328" xr:uid="{81A4ACDF-083D-496D-97E2-4220ED65303F}"/>
    <cellStyle name="Comma 2 2 2 2 4 4 2" xfId="1448" xr:uid="{B120AC37-2DEF-43C6-B277-7BB54747D33F}"/>
    <cellStyle name="Comma 2 2 2 2 4 5" xfId="776" xr:uid="{FC9428FC-387C-4762-AFD9-EAD5A93DB474}"/>
    <cellStyle name="Comma 2 2 2 2 4 5 2" xfId="1896" xr:uid="{25FE9800-2DBD-430A-941A-34B8064087E4}"/>
    <cellStyle name="Comma 2 2 2 2 4 6" xfId="1224" xr:uid="{D5CCA20D-5F9D-43DB-9C6E-2E1A2E53A1EB}"/>
    <cellStyle name="Comma 2 2 2 2 5" xfId="163" xr:uid="{540D6B14-1A30-46BF-A03C-CDB0F2506103}"/>
    <cellStyle name="Comma 2 2 2 2 5 2" xfId="612" xr:uid="{7DB82B5C-9193-4112-BDE8-808DCC7A66FC}"/>
    <cellStyle name="Comma 2 2 2 2 5 2 2" xfId="1060" xr:uid="{B72AF721-1854-4E08-804B-9A5BF591AF9B}"/>
    <cellStyle name="Comma 2 2 2 2 5 2 2 2" xfId="2180" xr:uid="{DF0D32DE-9231-4952-B698-E9CAD5A217CF}"/>
    <cellStyle name="Comma 2 2 2 2 5 2 3" xfId="1732" xr:uid="{EDBCECB1-7310-46DD-A096-404CB5F34B41}"/>
    <cellStyle name="Comma 2 2 2 2 5 3" xfId="388" xr:uid="{88E21779-C5E7-47C1-A4AD-915C7037144A}"/>
    <cellStyle name="Comma 2 2 2 2 5 3 2" xfId="1508" xr:uid="{B7112932-E8AE-4AAA-934C-8FF8AED34377}"/>
    <cellStyle name="Comma 2 2 2 2 5 4" xfId="836" xr:uid="{1BEAC1EC-E6F5-45C3-B7D6-D7DA3BA688F1}"/>
    <cellStyle name="Comma 2 2 2 2 5 4 2" xfId="1956" xr:uid="{9367D4D4-646B-4ED6-916A-879F3C62FEBB}"/>
    <cellStyle name="Comma 2 2 2 2 5 5" xfId="1284" xr:uid="{102AB10E-1777-4095-B1C5-B04920FC58E9}"/>
    <cellStyle name="Comma 2 2 2 2 6" xfId="500" xr:uid="{04B10D96-50C6-4AAF-9C5D-896D39F89432}"/>
    <cellStyle name="Comma 2 2 2 2 6 2" xfId="948" xr:uid="{824664FE-6FDF-411E-9601-677919063951}"/>
    <cellStyle name="Comma 2 2 2 2 6 2 2" xfId="2068" xr:uid="{D7A44D4A-5184-4A91-B354-A3597B073726}"/>
    <cellStyle name="Comma 2 2 2 2 6 3" xfId="1620" xr:uid="{4B321EC9-EE89-43A9-97D6-BAB6A67981A4}"/>
    <cellStyle name="Comma 2 2 2 2 7" xfId="276" xr:uid="{19020E19-2878-4F42-A3D7-706FA1D84A7A}"/>
    <cellStyle name="Comma 2 2 2 2 7 2" xfId="1396" xr:uid="{BCFD8547-34F9-4FCA-8119-3C547D8308AA}"/>
    <cellStyle name="Comma 2 2 2 2 8" xfId="724" xr:uid="{9C7D74E1-582C-45ED-A58A-96DA08B066AF}"/>
    <cellStyle name="Comma 2 2 2 2 8 2" xfId="1844" xr:uid="{59A2DA93-5B79-4435-B8FA-3C3AF2BF642B}"/>
    <cellStyle name="Comma 2 2 2 2 9" xfId="1172" xr:uid="{57981DBF-5E18-4DAE-937C-0E7FD395E0C0}"/>
    <cellStyle name="Comma 2 2 2 3" xfId="56" xr:uid="{748C5229-6B4A-461E-AEE8-32BA058D93E3}"/>
    <cellStyle name="Comma 2 2 2 3 2" xfId="79" xr:uid="{39BE62FE-9CFB-4A5A-9F3B-698B471E93CD}"/>
    <cellStyle name="Comma 2 2 2 3 2 2" xfId="134" xr:uid="{2F012C6A-1F72-4B28-8437-11B11F52CBC8}"/>
    <cellStyle name="Comma 2 2 2 3 2 2 2" xfId="246" xr:uid="{44276EB7-0916-4265-995C-ADC696DF8C98}"/>
    <cellStyle name="Comma 2 2 2 3 2 2 2 2" xfId="695" xr:uid="{7BFBDF87-1537-44B4-AD0D-71808AB77747}"/>
    <cellStyle name="Comma 2 2 2 3 2 2 2 2 2" xfId="1143" xr:uid="{C24746E2-B432-4AFA-A963-6EFA3EB148BA}"/>
    <cellStyle name="Comma 2 2 2 3 2 2 2 2 2 2" xfId="2263" xr:uid="{99A1F5D0-64FC-4805-A249-629115CC76E0}"/>
    <cellStyle name="Comma 2 2 2 3 2 2 2 2 3" xfId="1815" xr:uid="{BE022BA4-4804-4B89-9D6E-43BF6703C34E}"/>
    <cellStyle name="Comma 2 2 2 3 2 2 2 3" xfId="471" xr:uid="{8F8984B4-12CC-432C-B66A-5D077D0FC579}"/>
    <cellStyle name="Comma 2 2 2 3 2 2 2 3 2" xfId="1591" xr:uid="{9A846C26-80A1-424E-B005-02264F63A30A}"/>
    <cellStyle name="Comma 2 2 2 3 2 2 2 4" xfId="919" xr:uid="{ECA3C299-D214-4E37-AD78-6DEC291D343B}"/>
    <cellStyle name="Comma 2 2 2 3 2 2 2 4 2" xfId="2039" xr:uid="{BDFB209D-756F-47B5-A100-F8BD90B3F36A}"/>
    <cellStyle name="Comma 2 2 2 3 2 2 2 5" xfId="1367" xr:uid="{CDF09FBF-2409-4C1D-83CC-1FB6F37C9686}"/>
    <cellStyle name="Comma 2 2 2 3 2 2 3" xfId="583" xr:uid="{546BF499-5B76-4821-A858-8DE323EB231E}"/>
    <cellStyle name="Comma 2 2 2 3 2 2 3 2" xfId="1031" xr:uid="{7B880BD3-B489-453F-8A51-C9BF4DB3CD85}"/>
    <cellStyle name="Comma 2 2 2 3 2 2 3 2 2" xfId="2151" xr:uid="{43F8F78B-2BA4-439E-B81B-48A7711918CA}"/>
    <cellStyle name="Comma 2 2 2 3 2 2 3 3" xfId="1703" xr:uid="{F7FE42F1-8BFF-4AC0-A663-320BC97625C1}"/>
    <cellStyle name="Comma 2 2 2 3 2 2 4" xfId="359" xr:uid="{EB9ACB26-DE4A-49D2-B838-76701BC3D6B1}"/>
    <cellStyle name="Comma 2 2 2 3 2 2 4 2" xfId="1479" xr:uid="{EA0B369E-B964-4951-A88B-97D28B8F1E89}"/>
    <cellStyle name="Comma 2 2 2 3 2 2 5" xfId="807" xr:uid="{0A0C7F21-F67B-4E5F-A078-0FC9D7E89FB2}"/>
    <cellStyle name="Comma 2 2 2 3 2 2 5 2" xfId="1927" xr:uid="{B265B944-E370-4FDF-A441-AF7C5FA2D40E}"/>
    <cellStyle name="Comma 2 2 2 3 2 2 6" xfId="1255" xr:uid="{CC226DFC-C549-4B8D-ADCC-11D763E4FBAD}"/>
    <cellStyle name="Comma 2 2 2 3 2 3" xfId="192" xr:uid="{D87686AD-CD5B-4790-9E01-E2D5BBD89560}"/>
    <cellStyle name="Comma 2 2 2 3 2 3 2" xfId="641" xr:uid="{AF135B98-3EA0-453A-9BD3-31C8FB039658}"/>
    <cellStyle name="Comma 2 2 2 3 2 3 2 2" xfId="1089" xr:uid="{2E68772B-E876-489C-B72B-506DB2A2FD34}"/>
    <cellStyle name="Comma 2 2 2 3 2 3 2 2 2" xfId="2209" xr:uid="{5EE1C246-8DF3-4533-A8B6-4BA6D151A23B}"/>
    <cellStyle name="Comma 2 2 2 3 2 3 2 3" xfId="1761" xr:uid="{5C2770FA-3E00-48D9-BE0A-9C1FBADDA085}"/>
    <cellStyle name="Comma 2 2 2 3 2 3 3" xfId="417" xr:uid="{FEE17A64-D6B7-4906-BC12-7A933B8690B5}"/>
    <cellStyle name="Comma 2 2 2 3 2 3 3 2" xfId="1537" xr:uid="{E5E2361B-BBEA-4732-AC3D-7586A8E1EEC9}"/>
    <cellStyle name="Comma 2 2 2 3 2 3 4" xfId="865" xr:uid="{3BA79B6E-25F8-460C-A48F-72ED8FB1388F}"/>
    <cellStyle name="Comma 2 2 2 3 2 3 4 2" xfId="1985" xr:uid="{6A1EACB3-87C2-4455-976F-D17550547DED}"/>
    <cellStyle name="Comma 2 2 2 3 2 3 5" xfId="1313" xr:uid="{265D7DC0-B8FD-437B-BAA6-5B0D135D0921}"/>
    <cellStyle name="Comma 2 2 2 3 2 4" xfId="529" xr:uid="{E5261DB5-B2E1-4E20-BB82-D718142D9015}"/>
    <cellStyle name="Comma 2 2 2 3 2 4 2" xfId="977" xr:uid="{D4B4A98F-27D0-4C24-B702-07972A53A736}"/>
    <cellStyle name="Comma 2 2 2 3 2 4 2 2" xfId="2097" xr:uid="{3CCC1DE8-7CA1-4481-9A79-572ADA00BECB}"/>
    <cellStyle name="Comma 2 2 2 3 2 4 3" xfId="1649" xr:uid="{AF22A681-01C8-4617-ACD8-D4E3F7C488F0}"/>
    <cellStyle name="Comma 2 2 2 3 2 5" xfId="305" xr:uid="{0EDA6BF2-0A75-4728-9E76-250FC270837E}"/>
    <cellStyle name="Comma 2 2 2 3 2 5 2" xfId="1425" xr:uid="{AEDEE9CD-AF86-4850-A11E-BCE5F97B979F}"/>
    <cellStyle name="Comma 2 2 2 3 2 6" xfId="753" xr:uid="{21D33D7B-C558-4A67-B6E8-EC6DE2D361E2}"/>
    <cellStyle name="Comma 2 2 2 3 2 6 2" xfId="1873" xr:uid="{F09BF03A-CD5E-4039-AF77-EC6E23F698B3}"/>
    <cellStyle name="Comma 2 2 2 3 2 7" xfId="1201" xr:uid="{2BAC14E4-FDEC-4855-BF77-7BDE568BACE3}"/>
    <cellStyle name="Comma 2 2 2 3 3" xfId="108" xr:uid="{CC082923-1C75-4E10-991C-256EF6CF4E9D}"/>
    <cellStyle name="Comma 2 2 2 3 3 2" xfId="221" xr:uid="{1D1358F6-8DD8-418F-9094-F4275F6DFEC6}"/>
    <cellStyle name="Comma 2 2 2 3 3 2 2" xfId="670" xr:uid="{2B54202B-0EFA-4099-97DC-DD4762B66E7E}"/>
    <cellStyle name="Comma 2 2 2 3 3 2 2 2" xfId="1118" xr:uid="{B6D3CDB0-2B8E-4F5E-AD2D-015C0C8EC558}"/>
    <cellStyle name="Comma 2 2 2 3 3 2 2 2 2" xfId="2238" xr:uid="{3E18F0F4-E1A3-41AD-A6E9-E88B937E52B9}"/>
    <cellStyle name="Comma 2 2 2 3 3 2 2 3" xfId="1790" xr:uid="{C2D63166-C444-4213-8B50-C4F3B19FC822}"/>
    <cellStyle name="Comma 2 2 2 3 3 2 3" xfId="446" xr:uid="{0D4400F3-9887-43E1-8C91-20C382C043E9}"/>
    <cellStyle name="Comma 2 2 2 3 3 2 3 2" xfId="1566" xr:uid="{9AFD07BD-4A1C-47D7-905E-EDA426952609}"/>
    <cellStyle name="Comma 2 2 2 3 3 2 4" xfId="894" xr:uid="{D1224AB6-2E03-4614-9DF8-45A5102C9720}"/>
    <cellStyle name="Comma 2 2 2 3 3 2 4 2" xfId="2014" xr:uid="{462A9F71-1B37-44F7-8726-2FD7F3172ABC}"/>
    <cellStyle name="Comma 2 2 2 3 3 2 5" xfId="1342" xr:uid="{DA88ED25-DDCE-4153-98FE-53CF6B4EDB90}"/>
    <cellStyle name="Comma 2 2 2 3 3 3" xfId="558" xr:uid="{CB2293B6-31F5-4305-B32C-B46C42F15CA0}"/>
    <cellStyle name="Comma 2 2 2 3 3 3 2" xfId="1006" xr:uid="{23DB826F-D150-47A6-A37E-81605E2C8E73}"/>
    <cellStyle name="Comma 2 2 2 3 3 3 2 2" xfId="2126" xr:uid="{13864A35-155F-4055-BB0B-900BE8700EE0}"/>
    <cellStyle name="Comma 2 2 2 3 3 3 3" xfId="1678" xr:uid="{9F2D4C26-0BC0-4552-BADA-246B54B2C7BC}"/>
    <cellStyle name="Comma 2 2 2 3 3 4" xfId="334" xr:uid="{08FDF5DD-BF2D-4D61-8AF9-D22B6502D00D}"/>
    <cellStyle name="Comma 2 2 2 3 3 4 2" xfId="1454" xr:uid="{1CD63D68-755A-4163-8A3E-507134B9BE2D}"/>
    <cellStyle name="Comma 2 2 2 3 3 5" xfId="782" xr:uid="{012B0197-E241-4BB3-8E9D-0F65ED0E20E8}"/>
    <cellStyle name="Comma 2 2 2 3 3 5 2" xfId="1902" xr:uid="{6E4F247E-65FF-476A-98F5-78BEFF6738B8}"/>
    <cellStyle name="Comma 2 2 2 3 3 6" xfId="1230" xr:uid="{8B92E0E5-7AAF-4E0E-924E-F52A001188C5}"/>
    <cellStyle name="Comma 2 2 2 3 4" xfId="169" xr:uid="{34989D02-08E4-40E3-969F-D7120AB30126}"/>
    <cellStyle name="Comma 2 2 2 3 4 2" xfId="618" xr:uid="{2BFFAFCC-14BC-4BD3-BA83-6D485ED3F8B1}"/>
    <cellStyle name="Comma 2 2 2 3 4 2 2" xfId="1066" xr:uid="{A86C8A9D-B9B8-41C1-AF8D-81654FE17A97}"/>
    <cellStyle name="Comma 2 2 2 3 4 2 2 2" xfId="2186" xr:uid="{B8E7BA3D-EEA5-4C95-B14E-5977C7E37FAE}"/>
    <cellStyle name="Comma 2 2 2 3 4 2 3" xfId="1738" xr:uid="{5E3D094B-1186-4C4F-B316-D81FFB816446}"/>
    <cellStyle name="Comma 2 2 2 3 4 3" xfId="394" xr:uid="{13E89746-B151-4CDC-BB1E-AB3BB464334B}"/>
    <cellStyle name="Comma 2 2 2 3 4 3 2" xfId="1514" xr:uid="{1D8E6EF8-C72D-4EED-86C4-C4F35B47F47D}"/>
    <cellStyle name="Comma 2 2 2 3 4 4" xfId="842" xr:uid="{4AE3BC75-3382-4150-984A-851158EED114}"/>
    <cellStyle name="Comma 2 2 2 3 4 4 2" xfId="1962" xr:uid="{A4124916-9AD7-4A0A-82B7-516B75E347F3}"/>
    <cellStyle name="Comma 2 2 2 3 4 5" xfId="1290" xr:uid="{B47748FF-6573-48B6-9A43-35D7A8D094FB}"/>
    <cellStyle name="Comma 2 2 2 3 5" xfId="506" xr:uid="{BCE8EFC7-8572-45BB-B1C5-E0687F6EFEB3}"/>
    <cellStyle name="Comma 2 2 2 3 5 2" xfId="954" xr:uid="{948891A9-0950-4A99-BCC9-4F94AA6F7C5B}"/>
    <cellStyle name="Comma 2 2 2 3 5 2 2" xfId="2074" xr:uid="{950FB205-53A7-4CE5-9464-85A6429247FB}"/>
    <cellStyle name="Comma 2 2 2 3 5 3" xfId="1626" xr:uid="{6D451B7C-6CED-47C6-8A87-795907402250}"/>
    <cellStyle name="Comma 2 2 2 3 6" xfId="282" xr:uid="{A4E7F093-9CC2-4C5A-A817-2C6B6AC1431C}"/>
    <cellStyle name="Comma 2 2 2 3 6 2" xfId="1402" xr:uid="{8FFAFFB7-9013-490A-89BB-91A6C1B857A7}"/>
    <cellStyle name="Comma 2 2 2 3 7" xfId="730" xr:uid="{BD6E6F25-F142-42AC-8316-460F31FDFC33}"/>
    <cellStyle name="Comma 2 2 2 3 7 2" xfId="1850" xr:uid="{A9819572-1ABC-48C2-80F2-3DCCEB464CEA}"/>
    <cellStyle name="Comma 2 2 2 3 8" xfId="1178" xr:uid="{3D4E7CD9-1BC9-4D7E-A57A-ACBE506D28AD}"/>
    <cellStyle name="Comma 2 2 2 4" xfId="67" xr:uid="{E4A0DE56-3412-4F80-8234-D1A2F6F9E083}"/>
    <cellStyle name="Comma 2 2 2 4 2" xfId="122" xr:uid="{0B1B916A-5940-4808-8474-0E5B71131531}"/>
    <cellStyle name="Comma 2 2 2 4 2 2" xfId="234" xr:uid="{1D0D3832-1BCB-4351-8639-349DC6D0624A}"/>
    <cellStyle name="Comma 2 2 2 4 2 2 2" xfId="683" xr:uid="{DDF47C3C-465B-4082-883E-88A0CFD4B2FC}"/>
    <cellStyle name="Comma 2 2 2 4 2 2 2 2" xfId="1131" xr:uid="{93A7D837-571B-44F8-83D7-71684A2056D1}"/>
    <cellStyle name="Comma 2 2 2 4 2 2 2 2 2" xfId="2251" xr:uid="{E028E3DD-4AAF-4794-9A66-E16984919D38}"/>
    <cellStyle name="Comma 2 2 2 4 2 2 2 3" xfId="1803" xr:uid="{E1950801-1E1E-43E9-B753-6156A1D3A7DA}"/>
    <cellStyle name="Comma 2 2 2 4 2 2 3" xfId="459" xr:uid="{E054336A-0FB4-484F-943E-7D7533F3400C}"/>
    <cellStyle name="Comma 2 2 2 4 2 2 3 2" xfId="1579" xr:uid="{456EDE08-965D-4F63-BC28-B61F5EFE92C7}"/>
    <cellStyle name="Comma 2 2 2 4 2 2 4" xfId="907" xr:uid="{D4CF3FED-3ADA-44A8-9459-2A6E1B4907E9}"/>
    <cellStyle name="Comma 2 2 2 4 2 2 4 2" xfId="2027" xr:uid="{F678E73D-F69B-4B49-A018-DB3266709EAD}"/>
    <cellStyle name="Comma 2 2 2 4 2 2 5" xfId="1355" xr:uid="{74CAAF8C-B4B5-4D5B-8150-DF4B9D1849A5}"/>
    <cellStyle name="Comma 2 2 2 4 2 3" xfId="571" xr:uid="{0A6A67BD-A4EF-46A8-9A46-F98E0B7D164F}"/>
    <cellStyle name="Comma 2 2 2 4 2 3 2" xfId="1019" xr:uid="{6DD2790C-C3FE-4CF8-A9B2-EA185E376219}"/>
    <cellStyle name="Comma 2 2 2 4 2 3 2 2" xfId="2139" xr:uid="{9D46E5BA-7F4E-4270-9819-B20E9245C047}"/>
    <cellStyle name="Comma 2 2 2 4 2 3 3" xfId="1691" xr:uid="{D959766D-D100-4277-9318-78D9F1F64595}"/>
    <cellStyle name="Comma 2 2 2 4 2 4" xfId="347" xr:uid="{5B73D343-CB7C-470A-8C6F-331803C554C7}"/>
    <cellStyle name="Comma 2 2 2 4 2 4 2" xfId="1467" xr:uid="{F374E758-0F30-4D0F-B74D-91E3975A4008}"/>
    <cellStyle name="Comma 2 2 2 4 2 5" xfId="795" xr:uid="{949E3C67-6865-4788-BB78-E83021A5299D}"/>
    <cellStyle name="Comma 2 2 2 4 2 5 2" xfId="1915" xr:uid="{C5A99CC4-CCCA-4E9E-AF7F-F5D4AE6E401E}"/>
    <cellStyle name="Comma 2 2 2 4 2 6" xfId="1243" xr:uid="{2D53C93C-BA96-4894-BB9F-01AEB2CC83BB}"/>
    <cellStyle name="Comma 2 2 2 4 3" xfId="180" xr:uid="{54411762-4736-4F28-89B8-DF96226C383D}"/>
    <cellStyle name="Comma 2 2 2 4 3 2" xfId="629" xr:uid="{BF2356F6-1A30-4F15-8AF4-B08504352B03}"/>
    <cellStyle name="Comma 2 2 2 4 3 2 2" xfId="1077" xr:uid="{8EF54177-C48C-4BFB-A3F0-C7448E9FDC16}"/>
    <cellStyle name="Comma 2 2 2 4 3 2 2 2" xfId="2197" xr:uid="{05517091-B505-42C8-BFDA-33E8A6B9FDC0}"/>
    <cellStyle name="Comma 2 2 2 4 3 2 3" xfId="1749" xr:uid="{0944A370-7214-4244-BE2C-88CA91BAE7C5}"/>
    <cellStyle name="Comma 2 2 2 4 3 3" xfId="405" xr:uid="{9F6947F4-98EF-469C-B3F5-3747D38ACC85}"/>
    <cellStyle name="Comma 2 2 2 4 3 3 2" xfId="1525" xr:uid="{78B79106-5E9A-4740-B4E5-3BC0F877B30D}"/>
    <cellStyle name="Comma 2 2 2 4 3 4" xfId="853" xr:uid="{DDFBA93E-5F53-4921-AEF9-767E7CEFE47C}"/>
    <cellStyle name="Comma 2 2 2 4 3 4 2" xfId="1973" xr:uid="{E85C53A7-C97A-4603-BF6A-53A5E4A0DA80}"/>
    <cellStyle name="Comma 2 2 2 4 3 5" xfId="1301" xr:uid="{2BB8BE82-77E8-4EDD-B16B-70CA4F698960}"/>
    <cellStyle name="Comma 2 2 2 4 4" xfId="517" xr:uid="{8E967AD6-D231-4BAB-B450-238E3B654C7F}"/>
    <cellStyle name="Comma 2 2 2 4 4 2" xfId="965" xr:uid="{ABD1B6F4-F118-48CF-BF5A-D621A99AF1B4}"/>
    <cellStyle name="Comma 2 2 2 4 4 2 2" xfId="2085" xr:uid="{7AFD2ECF-A95F-4C83-8E08-343ECE911E1E}"/>
    <cellStyle name="Comma 2 2 2 4 4 3" xfId="1637" xr:uid="{7EBBE978-2040-4BD7-9CF1-7244B51A056A}"/>
    <cellStyle name="Comma 2 2 2 4 5" xfId="293" xr:uid="{7C44541C-55D0-41E5-B5D9-5BC55C1E117E}"/>
    <cellStyle name="Comma 2 2 2 4 5 2" xfId="1413" xr:uid="{EE20C694-BA93-4505-9A24-AAB479728FD8}"/>
    <cellStyle name="Comma 2 2 2 4 6" xfId="741" xr:uid="{538CB1DA-45D4-4B01-A5D1-89822109E7F0}"/>
    <cellStyle name="Comma 2 2 2 4 6 2" xfId="1861" xr:uid="{BB830A17-E22C-42B8-8C24-7CC5A5AFAC95}"/>
    <cellStyle name="Comma 2 2 2 4 7" xfId="1189" xr:uid="{9B3275AC-F2A4-4BE2-A241-AC0CC25A954B}"/>
    <cellStyle name="Comma 2 2 2 5" xfId="96" xr:uid="{9E9DBBA9-EB35-4EEF-80BC-05A711017AC2}"/>
    <cellStyle name="Comma 2 2 2 5 2" xfId="209" xr:uid="{0897A4CD-1B90-4445-9A5D-C30FCCFBAF12}"/>
    <cellStyle name="Comma 2 2 2 5 2 2" xfId="658" xr:uid="{11806F83-1202-4945-936C-2BE0ADFDC793}"/>
    <cellStyle name="Comma 2 2 2 5 2 2 2" xfId="1106" xr:uid="{FA4F1454-82E5-4892-83FA-CA5A84CEF452}"/>
    <cellStyle name="Comma 2 2 2 5 2 2 2 2" xfId="2226" xr:uid="{56A4EC19-3C3C-4776-943B-D65B70985618}"/>
    <cellStyle name="Comma 2 2 2 5 2 2 3" xfId="1778" xr:uid="{FFD93E49-5410-45FF-BAA9-940278F6BBE9}"/>
    <cellStyle name="Comma 2 2 2 5 2 3" xfId="434" xr:uid="{D98A8B2C-D5DD-489B-9538-F9AC939F6B79}"/>
    <cellStyle name="Comma 2 2 2 5 2 3 2" xfId="1554" xr:uid="{A0D0E60B-9AB2-4B2F-979D-C50267A9AEA5}"/>
    <cellStyle name="Comma 2 2 2 5 2 4" xfId="882" xr:uid="{92C56720-C3D8-44AA-9E07-0A7FEF79B7BD}"/>
    <cellStyle name="Comma 2 2 2 5 2 4 2" xfId="2002" xr:uid="{A85146A1-B9FA-4CDA-8EF7-63714F159A51}"/>
    <cellStyle name="Comma 2 2 2 5 2 5" xfId="1330" xr:uid="{A80330EA-611F-40B6-91CB-F7F2A8C02D01}"/>
    <cellStyle name="Comma 2 2 2 5 3" xfId="546" xr:uid="{0D6BF93B-C221-4740-94E5-27476457C330}"/>
    <cellStyle name="Comma 2 2 2 5 3 2" xfId="994" xr:uid="{1D42D319-331F-476B-A9E8-FBB6EA571F52}"/>
    <cellStyle name="Comma 2 2 2 5 3 2 2" xfId="2114" xr:uid="{160E74E7-0586-4127-A076-8510CBF82BE9}"/>
    <cellStyle name="Comma 2 2 2 5 3 3" xfId="1666" xr:uid="{21261C07-5E4A-403F-9164-F7B80F6AE06B}"/>
    <cellStyle name="Comma 2 2 2 5 4" xfId="322" xr:uid="{AFEBD0B9-2412-4034-8C4A-7EA73E48A252}"/>
    <cellStyle name="Comma 2 2 2 5 4 2" xfId="1442" xr:uid="{EB740C8D-C177-48F7-B796-EADC4C58E095}"/>
    <cellStyle name="Comma 2 2 2 5 5" xfId="770" xr:uid="{CB92B419-7CEF-4F29-BF8F-B1C1CC60124F}"/>
    <cellStyle name="Comma 2 2 2 5 5 2" xfId="1890" xr:uid="{13E8739E-F8A3-4D67-98D4-E1EA941F92EC}"/>
    <cellStyle name="Comma 2 2 2 5 6" xfId="1218" xr:uid="{9DB7B62D-83C0-433D-8722-43B5D49F76F5}"/>
    <cellStyle name="Comma 2 2 2 6" xfId="157" xr:uid="{DA2025FE-AA51-4903-A84E-E164426426CF}"/>
    <cellStyle name="Comma 2 2 2 6 2" xfId="606" xr:uid="{56BA69D9-F5E7-476F-9040-D5C05E4BCA91}"/>
    <cellStyle name="Comma 2 2 2 6 2 2" xfId="1054" xr:uid="{18B2C962-8C5C-46AD-B85A-F540C384EB2D}"/>
    <cellStyle name="Comma 2 2 2 6 2 2 2" xfId="2174" xr:uid="{30F3621D-A343-439A-BCC4-4A304E559541}"/>
    <cellStyle name="Comma 2 2 2 6 2 3" xfId="1726" xr:uid="{DD2FE3E2-831F-45CD-BB2F-35A0160B3F1B}"/>
    <cellStyle name="Comma 2 2 2 6 3" xfId="382" xr:uid="{FD591E43-751A-4FA8-AB0E-AB601CB7C547}"/>
    <cellStyle name="Comma 2 2 2 6 3 2" xfId="1502" xr:uid="{5A4F3169-9C99-4798-A329-FF5160D2CD7B}"/>
    <cellStyle name="Comma 2 2 2 6 4" xfId="830" xr:uid="{942283E4-1514-4551-A0CB-9EDD6DC01743}"/>
    <cellStyle name="Comma 2 2 2 6 4 2" xfId="1950" xr:uid="{EBB7DBCF-3F93-4F0E-B816-200FF0A7E428}"/>
    <cellStyle name="Comma 2 2 2 6 5" xfId="1278" xr:uid="{50C85DF7-BBAD-4F50-9839-6A08F9730EB5}"/>
    <cellStyle name="Comma 2 2 2 7" xfId="494" xr:uid="{DDEF1D17-59AB-4D33-8E37-CC0D4671D971}"/>
    <cellStyle name="Comma 2 2 2 7 2" xfId="942" xr:uid="{FEB9B1EE-421B-4E74-AA0A-A3EAA19BE155}"/>
    <cellStyle name="Comma 2 2 2 7 2 2" xfId="2062" xr:uid="{C77061CD-C404-4930-A7AD-1FE9533A68B4}"/>
    <cellStyle name="Comma 2 2 2 7 3" xfId="1614" xr:uid="{3C2461D6-2980-4947-9D77-49BDA661EC09}"/>
    <cellStyle name="Comma 2 2 2 8" xfId="270" xr:uid="{24A48396-26D5-4A04-8F91-AD2BACD6BFD3}"/>
    <cellStyle name="Comma 2 2 2 8 2" xfId="1390" xr:uid="{38EC805A-4659-4930-9B9C-19A20070E218}"/>
    <cellStyle name="Comma 2 2 2 9" xfId="718" xr:uid="{51EB2D9A-CF9B-4DF9-BD75-86A3AA735DC2}"/>
    <cellStyle name="Comma 2 2 2 9 2" xfId="1838" xr:uid="{91BDF82F-DA16-4B55-9B0E-C21A4511E615}"/>
    <cellStyle name="Comma 2 2 3" xfId="46" xr:uid="{030ED7AC-1922-4F82-9028-D9690C402DD5}"/>
    <cellStyle name="Comma 2 2 3 10" xfId="1168" xr:uid="{FAB0BBEC-772B-4357-9EB4-AAC621867E8B}"/>
    <cellStyle name="Comma 2 2 3 2" xfId="52" xr:uid="{CB37846D-1A0F-4C88-A623-751CFF217FF5}"/>
    <cellStyle name="Comma 2 2 3 2 2" xfId="64" xr:uid="{243BF66A-7EF0-4872-A6FB-B137895219DC}"/>
    <cellStyle name="Comma 2 2 3 2 2 2" xfId="87" xr:uid="{1532692D-7360-4C88-B2E6-1E99627281D0}"/>
    <cellStyle name="Comma 2 2 3 2 2 2 2" xfId="142" xr:uid="{A0171062-73A1-4914-9227-6CFB3924DD0B}"/>
    <cellStyle name="Comma 2 2 3 2 2 2 2 2" xfId="254" xr:uid="{4AADD621-328C-4B0A-9ABA-45BB9C073D46}"/>
    <cellStyle name="Comma 2 2 3 2 2 2 2 2 2" xfId="703" xr:uid="{96F2816C-CC05-45DC-BD32-91E04F73F05C}"/>
    <cellStyle name="Comma 2 2 3 2 2 2 2 2 2 2" xfId="1151" xr:uid="{7040F055-233E-4283-9AE1-D4FF6EA8D732}"/>
    <cellStyle name="Comma 2 2 3 2 2 2 2 2 2 2 2" xfId="2271" xr:uid="{B523200A-E46B-41A9-8A53-38420BE5BBE9}"/>
    <cellStyle name="Comma 2 2 3 2 2 2 2 2 2 3" xfId="1823" xr:uid="{168CF948-CA2C-4371-902F-444F001468D3}"/>
    <cellStyle name="Comma 2 2 3 2 2 2 2 2 3" xfId="479" xr:uid="{91AA595D-FB78-4A21-BE01-CC338CC90C60}"/>
    <cellStyle name="Comma 2 2 3 2 2 2 2 2 3 2" xfId="1599" xr:uid="{70D02E0A-29AF-4AEF-A75D-3496F73D85FA}"/>
    <cellStyle name="Comma 2 2 3 2 2 2 2 2 4" xfId="927" xr:uid="{22CBDB35-E8C5-4DE8-BF8F-5548300E453C}"/>
    <cellStyle name="Comma 2 2 3 2 2 2 2 2 4 2" xfId="2047" xr:uid="{E59FE0E4-D49A-4D5D-9F36-A57F868C38FA}"/>
    <cellStyle name="Comma 2 2 3 2 2 2 2 2 5" xfId="1375" xr:uid="{1C90F945-D60D-4BBA-8AD2-203C13627000}"/>
    <cellStyle name="Comma 2 2 3 2 2 2 2 3" xfId="591" xr:uid="{45470B3F-004F-43BF-A519-38DC1567EECD}"/>
    <cellStyle name="Comma 2 2 3 2 2 2 2 3 2" xfId="1039" xr:uid="{13304FB7-F4CB-4A56-80EF-C0C9140EC734}"/>
    <cellStyle name="Comma 2 2 3 2 2 2 2 3 2 2" xfId="2159" xr:uid="{C49CBA63-C4F4-4549-98B5-3C57B05994D0}"/>
    <cellStyle name="Comma 2 2 3 2 2 2 2 3 3" xfId="1711" xr:uid="{6DDF7504-C351-43FA-888A-5593915BE55B}"/>
    <cellStyle name="Comma 2 2 3 2 2 2 2 4" xfId="367" xr:uid="{496235DC-11E9-42F5-AAA6-C397E553E43F}"/>
    <cellStyle name="Comma 2 2 3 2 2 2 2 4 2" xfId="1487" xr:uid="{9AA05AE7-2A20-4A83-B050-8C8E35AFC31A}"/>
    <cellStyle name="Comma 2 2 3 2 2 2 2 5" xfId="815" xr:uid="{01E29F3F-67F8-41C0-9E54-B29EE85D83CB}"/>
    <cellStyle name="Comma 2 2 3 2 2 2 2 5 2" xfId="1935" xr:uid="{639ACB96-BE58-43D6-B807-84DFA7AF3927}"/>
    <cellStyle name="Comma 2 2 3 2 2 2 2 6" xfId="1263" xr:uid="{A9AC3F92-F778-4165-BDFD-D63ECA432365}"/>
    <cellStyle name="Comma 2 2 3 2 2 2 3" xfId="200" xr:uid="{7D52B0FE-9080-4C01-960C-F8A0715D5656}"/>
    <cellStyle name="Comma 2 2 3 2 2 2 3 2" xfId="649" xr:uid="{05011A74-A465-40D2-BBE4-0A44C11501B4}"/>
    <cellStyle name="Comma 2 2 3 2 2 2 3 2 2" xfId="1097" xr:uid="{3AD37378-862C-4BC0-ACDE-CD8CADAABF04}"/>
    <cellStyle name="Comma 2 2 3 2 2 2 3 2 2 2" xfId="2217" xr:uid="{FCABBB2E-EC1B-4757-A3EB-CB9FB63169A3}"/>
    <cellStyle name="Comma 2 2 3 2 2 2 3 2 3" xfId="1769" xr:uid="{00296180-F735-4B4A-8CAC-FB58BBCFA207}"/>
    <cellStyle name="Comma 2 2 3 2 2 2 3 3" xfId="425" xr:uid="{62F352BA-0D19-4792-8780-A5477EADA774}"/>
    <cellStyle name="Comma 2 2 3 2 2 2 3 3 2" xfId="1545" xr:uid="{25E5EAC4-69D5-4CD3-B0D8-463E90580768}"/>
    <cellStyle name="Comma 2 2 3 2 2 2 3 4" xfId="873" xr:uid="{F20E9F09-37B7-4E13-B799-FAA5785FF733}"/>
    <cellStyle name="Comma 2 2 3 2 2 2 3 4 2" xfId="1993" xr:uid="{C425D515-C172-470F-B674-30789BD8712C}"/>
    <cellStyle name="Comma 2 2 3 2 2 2 3 5" xfId="1321" xr:uid="{E794BFF3-8857-46A0-82F4-F21B1DB0A1C0}"/>
    <cellStyle name="Comma 2 2 3 2 2 2 4" xfId="537" xr:uid="{6E894D8B-52BA-400E-8078-603D9B8F17B7}"/>
    <cellStyle name="Comma 2 2 3 2 2 2 4 2" xfId="985" xr:uid="{3F15E1AE-BC1F-4474-A8EC-F2E84CF37A54}"/>
    <cellStyle name="Comma 2 2 3 2 2 2 4 2 2" xfId="2105" xr:uid="{FA1BED5B-CD09-4C95-A732-046D01EEFEBD}"/>
    <cellStyle name="Comma 2 2 3 2 2 2 4 3" xfId="1657" xr:uid="{6613AD1F-FB8B-4A92-B3B9-A0DEDDF3C793}"/>
    <cellStyle name="Comma 2 2 3 2 2 2 5" xfId="313" xr:uid="{7F0830F3-DD53-4D76-95AA-BD3C99928753}"/>
    <cellStyle name="Comma 2 2 3 2 2 2 5 2" xfId="1433" xr:uid="{CDAC036D-B860-45D5-A061-6641C7E62EA1}"/>
    <cellStyle name="Comma 2 2 3 2 2 2 6" xfId="761" xr:uid="{EBF48FD3-1508-4AEB-AD60-0B61F02ED1A9}"/>
    <cellStyle name="Comma 2 2 3 2 2 2 6 2" xfId="1881" xr:uid="{3364A721-F805-427D-93B1-2E511364BC81}"/>
    <cellStyle name="Comma 2 2 3 2 2 2 7" xfId="1209" xr:uid="{A3AB4D1C-68F4-4BE9-A73A-D27DBBDD67C8}"/>
    <cellStyle name="Comma 2 2 3 2 2 3" xfId="116" xr:uid="{5E7BD9E4-8F39-46D7-8EDF-FD3BA87AB744}"/>
    <cellStyle name="Comma 2 2 3 2 2 3 2" xfId="229" xr:uid="{0FFA98EE-A5C9-4314-9F7B-727E1FC7C8B7}"/>
    <cellStyle name="Comma 2 2 3 2 2 3 2 2" xfId="678" xr:uid="{3442CD7F-84EF-4F82-9050-6F2CC2446DCB}"/>
    <cellStyle name="Comma 2 2 3 2 2 3 2 2 2" xfId="1126" xr:uid="{723BC733-B6F9-4506-9FCD-4F11763A27B9}"/>
    <cellStyle name="Comma 2 2 3 2 2 3 2 2 2 2" xfId="2246" xr:uid="{D920474F-500D-432D-9158-B1201ABEA835}"/>
    <cellStyle name="Comma 2 2 3 2 2 3 2 2 3" xfId="1798" xr:uid="{3BD0DBAC-D2C7-4987-95E4-820DDB3A5CC0}"/>
    <cellStyle name="Comma 2 2 3 2 2 3 2 3" xfId="454" xr:uid="{51885B34-6C5E-4098-8DEB-E6D4D9B61D01}"/>
    <cellStyle name="Comma 2 2 3 2 2 3 2 3 2" xfId="1574" xr:uid="{B54720C3-F113-481E-BC1D-1BDFD17874EC}"/>
    <cellStyle name="Comma 2 2 3 2 2 3 2 4" xfId="902" xr:uid="{FC84F935-D3D9-4B69-B6EA-310F42702DF8}"/>
    <cellStyle name="Comma 2 2 3 2 2 3 2 4 2" xfId="2022" xr:uid="{8213C539-1B5A-43A8-83A5-7E99AC119439}"/>
    <cellStyle name="Comma 2 2 3 2 2 3 2 5" xfId="1350" xr:uid="{D89C0AE2-5877-44B8-BE4B-56DA0140A30E}"/>
    <cellStyle name="Comma 2 2 3 2 2 3 3" xfId="566" xr:uid="{2895FA5D-C8F8-4997-9161-1DCD59ECAC13}"/>
    <cellStyle name="Comma 2 2 3 2 2 3 3 2" xfId="1014" xr:uid="{F09C9ABB-0CAF-4608-96B3-749802EAF516}"/>
    <cellStyle name="Comma 2 2 3 2 2 3 3 2 2" xfId="2134" xr:uid="{26520EF3-ACDE-4605-8502-8A379CF9C146}"/>
    <cellStyle name="Comma 2 2 3 2 2 3 3 3" xfId="1686" xr:uid="{A0C2D156-0F31-4DE8-88B3-993C25DBC083}"/>
    <cellStyle name="Comma 2 2 3 2 2 3 4" xfId="342" xr:uid="{C0A5FE21-C35E-4F19-A8A2-5516238848C5}"/>
    <cellStyle name="Comma 2 2 3 2 2 3 4 2" xfId="1462" xr:uid="{BF45F4DB-A5CA-4C56-87B7-F39E2472E36D}"/>
    <cellStyle name="Comma 2 2 3 2 2 3 5" xfId="790" xr:uid="{683BD56D-6915-4B76-BE50-9F591F63ED40}"/>
    <cellStyle name="Comma 2 2 3 2 2 3 5 2" xfId="1910" xr:uid="{2CB51A5B-03E4-43F4-89C1-81A97D87CA2B}"/>
    <cellStyle name="Comma 2 2 3 2 2 3 6" xfId="1238" xr:uid="{62C1C299-019E-4750-824B-6DFA57BE2E96}"/>
    <cellStyle name="Comma 2 2 3 2 2 4" xfId="177" xr:uid="{1ABBB762-7449-4F4D-ABD6-E9C67D94BBE6}"/>
    <cellStyle name="Comma 2 2 3 2 2 4 2" xfId="626" xr:uid="{F8AB7280-93AC-4108-A3C1-E2507825F488}"/>
    <cellStyle name="Comma 2 2 3 2 2 4 2 2" xfId="1074" xr:uid="{1F6C3358-027E-41F8-B3E6-A44B4817D5F8}"/>
    <cellStyle name="Comma 2 2 3 2 2 4 2 2 2" xfId="2194" xr:uid="{4177A42B-4E1D-42CB-838C-06281A48C46C}"/>
    <cellStyle name="Comma 2 2 3 2 2 4 2 3" xfId="1746" xr:uid="{C218BE25-35C8-45EB-AE8E-77EF4ECDE551}"/>
    <cellStyle name="Comma 2 2 3 2 2 4 3" xfId="402" xr:uid="{760C71BE-6910-4FEF-8C82-020048E5D28E}"/>
    <cellStyle name="Comma 2 2 3 2 2 4 3 2" xfId="1522" xr:uid="{8AF61ED4-06E3-4937-9825-31063E2F93B9}"/>
    <cellStyle name="Comma 2 2 3 2 2 4 4" xfId="850" xr:uid="{2228AE80-0058-4C68-8E30-9582E60B4248}"/>
    <cellStyle name="Comma 2 2 3 2 2 4 4 2" xfId="1970" xr:uid="{C4F6F195-32AE-40D3-8084-5CD359208DDE}"/>
    <cellStyle name="Comma 2 2 3 2 2 4 5" xfId="1298" xr:uid="{A1955004-CA94-4F94-BAC8-0129A48E5277}"/>
    <cellStyle name="Comma 2 2 3 2 2 5" xfId="514" xr:uid="{9067B46F-999C-49E9-AEF0-3F067D1BA080}"/>
    <cellStyle name="Comma 2 2 3 2 2 5 2" xfId="962" xr:uid="{484CD73D-CB00-48D5-80E5-33105060194A}"/>
    <cellStyle name="Comma 2 2 3 2 2 5 2 2" xfId="2082" xr:uid="{214F2A16-0445-4E39-83BF-FA914BB7F2E9}"/>
    <cellStyle name="Comma 2 2 3 2 2 5 3" xfId="1634" xr:uid="{5DC8A279-2117-4296-8677-36FAA5609977}"/>
    <cellStyle name="Comma 2 2 3 2 2 6" xfId="290" xr:uid="{7D884B2E-50FE-4BA7-BFB3-35A572BE33BD}"/>
    <cellStyle name="Comma 2 2 3 2 2 6 2" xfId="1410" xr:uid="{97F410BB-ADAA-41FE-B3C1-8301AE5166E5}"/>
    <cellStyle name="Comma 2 2 3 2 2 7" xfId="738" xr:uid="{22530ED2-DA14-44C0-B79C-82B8240087F7}"/>
    <cellStyle name="Comma 2 2 3 2 2 7 2" xfId="1858" xr:uid="{57056784-FEF5-4231-BF82-2C26651E6C0A}"/>
    <cellStyle name="Comma 2 2 3 2 2 8" xfId="1186" xr:uid="{AB8D9300-977A-43E6-9CB6-CE20E2BD737D}"/>
    <cellStyle name="Comma 2 2 3 2 3" xfId="75" xr:uid="{F5725D08-38C1-49CB-A10A-3E8C902D5939}"/>
    <cellStyle name="Comma 2 2 3 2 3 2" xfId="130" xr:uid="{8A4576E4-16D9-4CB9-A697-588096D9C71B}"/>
    <cellStyle name="Comma 2 2 3 2 3 2 2" xfId="242" xr:uid="{58BADB3F-F39D-44C0-835D-CEAC9112DAFC}"/>
    <cellStyle name="Comma 2 2 3 2 3 2 2 2" xfId="691" xr:uid="{1CEDC8FF-EAE2-4095-AFA3-B99F6C90BA50}"/>
    <cellStyle name="Comma 2 2 3 2 3 2 2 2 2" xfId="1139" xr:uid="{DE53FBC3-A53F-4A30-81A6-BAE5A2710F12}"/>
    <cellStyle name="Comma 2 2 3 2 3 2 2 2 2 2" xfId="2259" xr:uid="{9BB968BC-4C96-4BD4-9C19-3471CB366253}"/>
    <cellStyle name="Comma 2 2 3 2 3 2 2 2 3" xfId="1811" xr:uid="{CABEB746-409B-4DA9-8117-8679412CD671}"/>
    <cellStyle name="Comma 2 2 3 2 3 2 2 3" xfId="467" xr:uid="{2E354240-BCFC-46FD-8F18-21E9634770BE}"/>
    <cellStyle name="Comma 2 2 3 2 3 2 2 3 2" xfId="1587" xr:uid="{437E20A2-8804-4053-9C7A-67744AB2BB79}"/>
    <cellStyle name="Comma 2 2 3 2 3 2 2 4" xfId="915" xr:uid="{D9B2E1DD-E30E-46DE-94F9-C7BAB8EF2FB2}"/>
    <cellStyle name="Comma 2 2 3 2 3 2 2 4 2" xfId="2035" xr:uid="{25EADDBF-D305-4530-ACC2-E57FFAC735EB}"/>
    <cellStyle name="Comma 2 2 3 2 3 2 2 5" xfId="1363" xr:uid="{F497539E-B0E2-41A6-AD1D-517C14EA78D6}"/>
    <cellStyle name="Comma 2 2 3 2 3 2 3" xfId="579" xr:uid="{899B35AF-6B07-4087-B68B-F782C990F580}"/>
    <cellStyle name="Comma 2 2 3 2 3 2 3 2" xfId="1027" xr:uid="{7CCB6C51-F26D-4D87-8C7D-A07E0BA81660}"/>
    <cellStyle name="Comma 2 2 3 2 3 2 3 2 2" xfId="2147" xr:uid="{FB2431BC-706B-44E3-89D0-CF4000C71D36}"/>
    <cellStyle name="Comma 2 2 3 2 3 2 3 3" xfId="1699" xr:uid="{F6A886FF-FE46-4371-AC43-30AA4700ED67}"/>
    <cellStyle name="Comma 2 2 3 2 3 2 4" xfId="355" xr:uid="{DA851B74-3347-4184-A26B-A6EDBF8C7CFB}"/>
    <cellStyle name="Comma 2 2 3 2 3 2 4 2" xfId="1475" xr:uid="{08FD1A61-DF4F-4D0D-9E9B-C1C4B84675F3}"/>
    <cellStyle name="Comma 2 2 3 2 3 2 5" xfId="803" xr:uid="{EBAAAB2E-89B7-45A0-9F48-BAECAAC02BD9}"/>
    <cellStyle name="Comma 2 2 3 2 3 2 5 2" xfId="1923" xr:uid="{42F79649-2265-4B3F-976C-FDC066A80028}"/>
    <cellStyle name="Comma 2 2 3 2 3 2 6" xfId="1251" xr:uid="{1D6B7B1A-2A0E-4B39-AF51-E42F1D6E2F94}"/>
    <cellStyle name="Comma 2 2 3 2 3 3" xfId="188" xr:uid="{9E460DB0-FA90-4EBB-AE83-3F55A0C4201C}"/>
    <cellStyle name="Comma 2 2 3 2 3 3 2" xfId="637" xr:uid="{8F94B951-6E74-44F7-8F5F-20C9E03A3C0F}"/>
    <cellStyle name="Comma 2 2 3 2 3 3 2 2" xfId="1085" xr:uid="{68F94634-A90F-4665-9B00-8D619742D8F7}"/>
    <cellStyle name="Comma 2 2 3 2 3 3 2 2 2" xfId="2205" xr:uid="{06D2553E-B401-4F27-B3FE-A49EF41E6BAD}"/>
    <cellStyle name="Comma 2 2 3 2 3 3 2 3" xfId="1757" xr:uid="{4AF0783F-55A7-4162-BDE9-29C38F9551F3}"/>
    <cellStyle name="Comma 2 2 3 2 3 3 3" xfId="413" xr:uid="{98EDCC67-DD62-421C-A662-247772F526DC}"/>
    <cellStyle name="Comma 2 2 3 2 3 3 3 2" xfId="1533" xr:uid="{23A067CA-1CC0-4628-B1C9-92228E9B3CA8}"/>
    <cellStyle name="Comma 2 2 3 2 3 3 4" xfId="861" xr:uid="{797A1EE4-E3DB-4B2B-AB93-CD1944AFE780}"/>
    <cellStyle name="Comma 2 2 3 2 3 3 4 2" xfId="1981" xr:uid="{2876F1B4-D974-4FD0-B1DF-88D1E3D6977B}"/>
    <cellStyle name="Comma 2 2 3 2 3 3 5" xfId="1309" xr:uid="{64C03F76-91FD-407A-B2D1-612C48811C78}"/>
    <cellStyle name="Comma 2 2 3 2 3 4" xfId="525" xr:uid="{6F87F631-A7D1-4E50-9BC6-32639594FEE5}"/>
    <cellStyle name="Comma 2 2 3 2 3 4 2" xfId="973" xr:uid="{52412525-537E-425F-A498-F770BD1A6851}"/>
    <cellStyle name="Comma 2 2 3 2 3 4 2 2" xfId="2093" xr:uid="{90F6FB87-B666-4285-8A4C-810880CA9445}"/>
    <cellStyle name="Comma 2 2 3 2 3 4 3" xfId="1645" xr:uid="{F0F197AB-C09D-4A98-9AE7-A95861DE2F2F}"/>
    <cellStyle name="Comma 2 2 3 2 3 5" xfId="301" xr:uid="{E82BDF26-419A-41C0-846F-158A904FCC23}"/>
    <cellStyle name="Comma 2 2 3 2 3 5 2" xfId="1421" xr:uid="{5C44A66F-61DB-4E3B-A630-1ED0D93CAE7F}"/>
    <cellStyle name="Comma 2 2 3 2 3 6" xfId="749" xr:uid="{1AE989D0-0B69-40CE-9201-7CCEF61EE05F}"/>
    <cellStyle name="Comma 2 2 3 2 3 6 2" xfId="1869" xr:uid="{2D663DAF-72C1-490C-AAF0-68DEBCE27B12}"/>
    <cellStyle name="Comma 2 2 3 2 3 7" xfId="1197" xr:uid="{C12DA23F-C668-4632-BB69-CA2C5CAF6FAA}"/>
    <cellStyle name="Comma 2 2 3 2 4" xfId="104" xr:uid="{642DA37E-5714-4F09-A48B-7DB65937ED4C}"/>
    <cellStyle name="Comma 2 2 3 2 4 2" xfId="217" xr:uid="{E14098C9-D7EE-4598-B32B-E1480B4BFE66}"/>
    <cellStyle name="Comma 2 2 3 2 4 2 2" xfId="666" xr:uid="{71260CB0-4266-4852-B106-C3A5DFF926E9}"/>
    <cellStyle name="Comma 2 2 3 2 4 2 2 2" xfId="1114" xr:uid="{068CB8A8-9E65-4C8E-8D0D-C5946A6F3E66}"/>
    <cellStyle name="Comma 2 2 3 2 4 2 2 2 2" xfId="2234" xr:uid="{88C84D0F-9419-4916-B56E-202E984E8071}"/>
    <cellStyle name="Comma 2 2 3 2 4 2 2 3" xfId="1786" xr:uid="{2E8E6396-AE24-4095-822B-9C8433FCC1F7}"/>
    <cellStyle name="Comma 2 2 3 2 4 2 3" xfId="442" xr:uid="{B0B4CE69-C717-4A4F-A61C-088CAC59F615}"/>
    <cellStyle name="Comma 2 2 3 2 4 2 3 2" xfId="1562" xr:uid="{080EF0EA-0C67-4ABC-9EDD-70B2EA0DCCAC}"/>
    <cellStyle name="Comma 2 2 3 2 4 2 4" xfId="890" xr:uid="{65E52523-CC06-4F2B-AE22-5A64A6277C6C}"/>
    <cellStyle name="Comma 2 2 3 2 4 2 4 2" xfId="2010" xr:uid="{CE34056E-7435-4A97-9CEC-C6B6EFE870C6}"/>
    <cellStyle name="Comma 2 2 3 2 4 2 5" xfId="1338" xr:uid="{474B212A-A7F5-4DFD-8F6C-C515B8C5BE45}"/>
    <cellStyle name="Comma 2 2 3 2 4 3" xfId="554" xr:uid="{601FE06C-D43A-4F79-9810-86EC6458E86A}"/>
    <cellStyle name="Comma 2 2 3 2 4 3 2" xfId="1002" xr:uid="{0BCAD8B0-3860-4F98-B944-EEB42326B660}"/>
    <cellStyle name="Comma 2 2 3 2 4 3 2 2" xfId="2122" xr:uid="{7D09483A-04BF-412B-82EE-951BEFD34C03}"/>
    <cellStyle name="Comma 2 2 3 2 4 3 3" xfId="1674" xr:uid="{EF3693C7-4CD4-4E1F-9988-6D3E4CD33E7E}"/>
    <cellStyle name="Comma 2 2 3 2 4 4" xfId="330" xr:uid="{FB98267D-AA9E-4E4C-B71A-0FE74070BC11}"/>
    <cellStyle name="Comma 2 2 3 2 4 4 2" xfId="1450" xr:uid="{878617A0-4947-4422-8FF6-7E3A98A265A4}"/>
    <cellStyle name="Comma 2 2 3 2 4 5" xfId="778" xr:uid="{803E0900-F4FC-4B5B-8219-3E20A6A81C69}"/>
    <cellStyle name="Comma 2 2 3 2 4 5 2" xfId="1898" xr:uid="{BDB6F15D-C153-4E3D-BC89-E0A479D58528}"/>
    <cellStyle name="Comma 2 2 3 2 4 6" xfId="1226" xr:uid="{0CCFA24F-FF8F-40BA-99C9-1DA963D304AC}"/>
    <cellStyle name="Comma 2 2 3 2 5" xfId="165" xr:uid="{5311838E-811E-44D4-8425-748DB8BDA224}"/>
    <cellStyle name="Comma 2 2 3 2 5 2" xfId="614" xr:uid="{1A966C73-0417-4E5E-A37D-A111B6EB028A}"/>
    <cellStyle name="Comma 2 2 3 2 5 2 2" xfId="1062" xr:uid="{96CD1CBE-D5D7-4B06-BD5A-FA739B22287B}"/>
    <cellStyle name="Comma 2 2 3 2 5 2 2 2" xfId="2182" xr:uid="{2A757AFC-3B57-4344-ABAF-AE7DB456578B}"/>
    <cellStyle name="Comma 2 2 3 2 5 2 3" xfId="1734" xr:uid="{F0DFBEF8-4658-4B37-923B-3AE561019751}"/>
    <cellStyle name="Comma 2 2 3 2 5 3" xfId="390" xr:uid="{A4B99F4E-6A73-4F4D-B66B-95F07877EE0E}"/>
    <cellStyle name="Comma 2 2 3 2 5 3 2" xfId="1510" xr:uid="{9001F161-36DF-4F6F-AB5B-1C3CEF8F9508}"/>
    <cellStyle name="Comma 2 2 3 2 5 4" xfId="838" xr:uid="{5471074C-74DA-4F83-9CA5-D9453872940C}"/>
    <cellStyle name="Comma 2 2 3 2 5 4 2" xfId="1958" xr:uid="{B4E21934-06BD-4A2B-8614-14F4AD1F3000}"/>
    <cellStyle name="Comma 2 2 3 2 5 5" xfId="1286" xr:uid="{9503E440-6217-4CE3-B0E1-94723D87CA67}"/>
    <cellStyle name="Comma 2 2 3 2 6" xfId="502" xr:uid="{20EBD0BD-0197-419A-83BB-AEC099627FEC}"/>
    <cellStyle name="Comma 2 2 3 2 6 2" xfId="950" xr:uid="{8B3EE853-F7E3-418B-96F3-72C446CBC2FA}"/>
    <cellStyle name="Comma 2 2 3 2 6 2 2" xfId="2070" xr:uid="{C01252BC-E296-46E5-8433-EA9261B945A9}"/>
    <cellStyle name="Comma 2 2 3 2 6 3" xfId="1622" xr:uid="{AF8D1F65-A2F6-4416-9AF0-BF496F732172}"/>
    <cellStyle name="Comma 2 2 3 2 7" xfId="278" xr:uid="{7DD4A47E-5AFC-4B0A-AA30-709118FDB782}"/>
    <cellStyle name="Comma 2 2 3 2 7 2" xfId="1398" xr:uid="{661CCA98-889F-4DA9-8774-9849E85F4E82}"/>
    <cellStyle name="Comma 2 2 3 2 8" xfId="726" xr:uid="{B0E54464-69C9-4032-932E-865A9BAF1AAF}"/>
    <cellStyle name="Comma 2 2 3 2 8 2" xfId="1846" xr:uid="{7CB35E67-5F8E-4365-8DD2-450B9085A736}"/>
    <cellStyle name="Comma 2 2 3 2 9" xfId="1174" xr:uid="{0AB03C29-2E44-4BA0-94C5-B9343752E4E6}"/>
    <cellStyle name="Comma 2 2 3 3" xfId="58" xr:uid="{44E7806F-14C6-4355-B071-6E8B0F30DDAA}"/>
    <cellStyle name="Comma 2 2 3 3 2" xfId="81" xr:uid="{AB0EB55E-7A5E-4D6D-AC26-C0572AAC420A}"/>
    <cellStyle name="Comma 2 2 3 3 2 2" xfId="136" xr:uid="{F33E804D-7FE4-4E82-B891-D71FF2FA0217}"/>
    <cellStyle name="Comma 2 2 3 3 2 2 2" xfId="248" xr:uid="{01E0B0E3-405F-4400-871B-A8CF7A887793}"/>
    <cellStyle name="Comma 2 2 3 3 2 2 2 2" xfId="697" xr:uid="{51133648-16F2-404E-9BF3-38A23CEE7495}"/>
    <cellStyle name="Comma 2 2 3 3 2 2 2 2 2" xfId="1145" xr:uid="{20BB9760-9467-409B-A3EE-9BBFBDAEEB82}"/>
    <cellStyle name="Comma 2 2 3 3 2 2 2 2 2 2" xfId="2265" xr:uid="{19B2AEF6-1F5B-4400-ABBF-F559933A78F0}"/>
    <cellStyle name="Comma 2 2 3 3 2 2 2 2 3" xfId="1817" xr:uid="{957C0257-5836-42B8-B455-7FE3664ACF91}"/>
    <cellStyle name="Comma 2 2 3 3 2 2 2 3" xfId="473" xr:uid="{67A5A36A-FADF-4604-A625-A53752BFC098}"/>
    <cellStyle name="Comma 2 2 3 3 2 2 2 3 2" xfId="1593" xr:uid="{4F540D02-5DC7-40F0-A2AF-FBF661406397}"/>
    <cellStyle name="Comma 2 2 3 3 2 2 2 4" xfId="921" xr:uid="{5853F12B-443D-4EF4-92C0-8DCDBC9F2833}"/>
    <cellStyle name="Comma 2 2 3 3 2 2 2 4 2" xfId="2041" xr:uid="{76B734A1-57F3-473F-AE63-B48D9A135F1F}"/>
    <cellStyle name="Comma 2 2 3 3 2 2 2 5" xfId="1369" xr:uid="{5D11B9BC-662E-4F71-B378-F74D2D44512C}"/>
    <cellStyle name="Comma 2 2 3 3 2 2 3" xfId="585" xr:uid="{DF6C5122-CE0F-4FF4-A501-24220A1CBCD1}"/>
    <cellStyle name="Comma 2 2 3 3 2 2 3 2" xfId="1033" xr:uid="{A097B095-73BA-4D94-8721-9B02F15FCF5E}"/>
    <cellStyle name="Comma 2 2 3 3 2 2 3 2 2" xfId="2153" xr:uid="{CD024D8D-B35C-42C9-871C-8E010C2F2DF2}"/>
    <cellStyle name="Comma 2 2 3 3 2 2 3 3" xfId="1705" xr:uid="{4B495D19-077B-4F86-AED8-50D4230BD452}"/>
    <cellStyle name="Comma 2 2 3 3 2 2 4" xfId="361" xr:uid="{E51067A3-0FF9-40AA-A4A4-FB0BA65577CD}"/>
    <cellStyle name="Comma 2 2 3 3 2 2 4 2" xfId="1481" xr:uid="{53C884E6-CCCB-487D-BE08-2BFE5F8E82C4}"/>
    <cellStyle name="Comma 2 2 3 3 2 2 5" xfId="809" xr:uid="{A3448B89-C7FB-4E46-A172-F8F7A89766D1}"/>
    <cellStyle name="Comma 2 2 3 3 2 2 5 2" xfId="1929" xr:uid="{43047F6C-9F58-4D25-9412-2F833F8CED54}"/>
    <cellStyle name="Comma 2 2 3 3 2 2 6" xfId="1257" xr:uid="{7271D56B-57E5-4D46-8755-435E7E937F4B}"/>
    <cellStyle name="Comma 2 2 3 3 2 3" xfId="194" xr:uid="{18845F48-D0F6-476A-A74D-00E158E7F006}"/>
    <cellStyle name="Comma 2 2 3 3 2 3 2" xfId="643" xr:uid="{B889784E-2AF0-4DF5-A3B6-21DDAAC2D0BA}"/>
    <cellStyle name="Comma 2 2 3 3 2 3 2 2" xfId="1091" xr:uid="{7A5A1A9E-FB9D-4F04-9742-8B6F70ACB27F}"/>
    <cellStyle name="Comma 2 2 3 3 2 3 2 2 2" xfId="2211" xr:uid="{156686AD-68F0-499B-ABF4-1DAC4E75798B}"/>
    <cellStyle name="Comma 2 2 3 3 2 3 2 3" xfId="1763" xr:uid="{1EAC0CAD-DA3E-48DF-9CED-4A9A59A813A1}"/>
    <cellStyle name="Comma 2 2 3 3 2 3 3" xfId="419" xr:uid="{B7714E92-32FA-45FF-AC02-DECD025CBC4F}"/>
    <cellStyle name="Comma 2 2 3 3 2 3 3 2" xfId="1539" xr:uid="{5463AA85-BA62-4583-8F55-AB360C1DEA58}"/>
    <cellStyle name="Comma 2 2 3 3 2 3 4" xfId="867" xr:uid="{B269F705-F519-4838-ABAB-9021951890DC}"/>
    <cellStyle name="Comma 2 2 3 3 2 3 4 2" xfId="1987" xr:uid="{1A984B25-4277-419A-8294-BD4ECE3B03BB}"/>
    <cellStyle name="Comma 2 2 3 3 2 3 5" xfId="1315" xr:uid="{E65FC64D-061F-4771-AF0E-C6FCF5A99246}"/>
    <cellStyle name="Comma 2 2 3 3 2 4" xfId="531" xr:uid="{3C7E392F-E229-49CA-AFCD-6A15338E25E5}"/>
    <cellStyle name="Comma 2 2 3 3 2 4 2" xfId="979" xr:uid="{9BB95E23-9A67-48D4-B6AF-A82D9A09A381}"/>
    <cellStyle name="Comma 2 2 3 3 2 4 2 2" xfId="2099" xr:uid="{18895CEA-10AD-4F0D-972E-4ECED15F5761}"/>
    <cellStyle name="Comma 2 2 3 3 2 4 3" xfId="1651" xr:uid="{53D9B053-77B4-4D59-B761-F049D5F95F48}"/>
    <cellStyle name="Comma 2 2 3 3 2 5" xfId="307" xr:uid="{1A8E03B0-3970-42DF-BA53-39A2C71F4C93}"/>
    <cellStyle name="Comma 2 2 3 3 2 5 2" xfId="1427" xr:uid="{6136DEA2-22FD-4B09-A554-8B79E6680463}"/>
    <cellStyle name="Comma 2 2 3 3 2 6" xfId="755" xr:uid="{153BEF11-775E-436D-8C3A-8E632CD61998}"/>
    <cellStyle name="Comma 2 2 3 3 2 6 2" xfId="1875" xr:uid="{7B7581CA-99A3-461D-98A6-ADDA226F4515}"/>
    <cellStyle name="Comma 2 2 3 3 2 7" xfId="1203" xr:uid="{5E4E5CA2-D07A-42A1-B02B-AE31C4D45546}"/>
    <cellStyle name="Comma 2 2 3 3 3" xfId="110" xr:uid="{BA5FFC0B-83CE-4EE4-9A5D-999264D3341A}"/>
    <cellStyle name="Comma 2 2 3 3 3 2" xfId="223" xr:uid="{9C69DA8B-3FC7-4B82-BACF-557211EDAEAD}"/>
    <cellStyle name="Comma 2 2 3 3 3 2 2" xfId="672" xr:uid="{88A60027-8010-4334-9595-B630E031FA34}"/>
    <cellStyle name="Comma 2 2 3 3 3 2 2 2" xfId="1120" xr:uid="{F67954B1-2BA6-4509-AB23-224D0A3AB53A}"/>
    <cellStyle name="Comma 2 2 3 3 3 2 2 2 2" xfId="2240" xr:uid="{06FC707C-3AFD-42D6-8EE4-C4D5AB1D1FAF}"/>
    <cellStyle name="Comma 2 2 3 3 3 2 2 3" xfId="1792" xr:uid="{E53AFF13-7F10-46E5-975C-CD982494E798}"/>
    <cellStyle name="Comma 2 2 3 3 3 2 3" xfId="448" xr:uid="{70679310-7AC6-4728-A27D-B64C4A23B8A6}"/>
    <cellStyle name="Comma 2 2 3 3 3 2 3 2" xfId="1568" xr:uid="{54FC0ACF-9A75-4135-A78B-D5CCAE078245}"/>
    <cellStyle name="Comma 2 2 3 3 3 2 4" xfId="896" xr:uid="{AEA78B50-7BAA-487A-A4CA-76E3C69CDD7F}"/>
    <cellStyle name="Comma 2 2 3 3 3 2 4 2" xfId="2016" xr:uid="{7C2CF4DF-6A00-479B-B557-9205A18FE6DF}"/>
    <cellStyle name="Comma 2 2 3 3 3 2 5" xfId="1344" xr:uid="{32BE0021-374C-4F4F-B7C5-3927D8E0E628}"/>
    <cellStyle name="Comma 2 2 3 3 3 3" xfId="560" xr:uid="{E4083993-7703-43FD-B3E4-CF79DA4D5261}"/>
    <cellStyle name="Comma 2 2 3 3 3 3 2" xfId="1008" xr:uid="{E003455B-8B42-4A4A-B55B-1D97BA346CB0}"/>
    <cellStyle name="Comma 2 2 3 3 3 3 2 2" xfId="2128" xr:uid="{C4066D8E-CA5E-46ED-89A1-64CCEDCFD6AA}"/>
    <cellStyle name="Comma 2 2 3 3 3 3 3" xfId="1680" xr:uid="{0A482C2E-3EAE-48DD-BDFD-CDA081E8DDBD}"/>
    <cellStyle name="Comma 2 2 3 3 3 4" xfId="336" xr:uid="{F67D4887-2748-4D73-A827-12629D89BBEC}"/>
    <cellStyle name="Comma 2 2 3 3 3 4 2" xfId="1456" xr:uid="{B22170CB-45D2-4CB0-BB8C-93F2F7868759}"/>
    <cellStyle name="Comma 2 2 3 3 3 5" xfId="784" xr:uid="{CEFB994A-AA41-414F-9822-64EEAC22798D}"/>
    <cellStyle name="Comma 2 2 3 3 3 5 2" xfId="1904" xr:uid="{3647903C-2706-4AC4-ACE5-D597B89FA6F4}"/>
    <cellStyle name="Comma 2 2 3 3 3 6" xfId="1232" xr:uid="{59DDE181-4983-4EC1-B6A0-02E4DBD4C55E}"/>
    <cellStyle name="Comma 2 2 3 3 4" xfId="171" xr:uid="{8E6707F5-F6B6-4424-88CE-2768404B5AC8}"/>
    <cellStyle name="Comma 2 2 3 3 4 2" xfId="620" xr:uid="{1352B670-F596-4C85-8AB0-7CA1AE99327C}"/>
    <cellStyle name="Comma 2 2 3 3 4 2 2" xfId="1068" xr:uid="{80E2C8D5-05D0-4485-9DEE-E923273D234C}"/>
    <cellStyle name="Comma 2 2 3 3 4 2 2 2" xfId="2188" xr:uid="{5C8BC6DB-9162-4ABD-83C9-70A904D11BAA}"/>
    <cellStyle name="Comma 2 2 3 3 4 2 3" xfId="1740" xr:uid="{2B1020F4-D07E-4FCA-BFBC-2EE7FEBBC0F4}"/>
    <cellStyle name="Comma 2 2 3 3 4 3" xfId="396" xr:uid="{634E0429-0E09-4D68-875A-864E77866B08}"/>
    <cellStyle name="Comma 2 2 3 3 4 3 2" xfId="1516" xr:uid="{794DE288-8FC5-43CA-B022-D35E4B7E48FA}"/>
    <cellStyle name="Comma 2 2 3 3 4 4" xfId="844" xr:uid="{A0C32081-75E2-41BE-AA92-96EFC3AF71C1}"/>
    <cellStyle name="Comma 2 2 3 3 4 4 2" xfId="1964" xr:uid="{3F8019FB-1B69-4A2F-8D6B-794E53DD7E4B}"/>
    <cellStyle name="Comma 2 2 3 3 4 5" xfId="1292" xr:uid="{4F52B1BB-C75A-46B2-83A9-8058FDCCFC03}"/>
    <cellStyle name="Comma 2 2 3 3 5" xfId="508" xr:uid="{C147EEFE-3707-428E-95C8-3F7E57ABB48C}"/>
    <cellStyle name="Comma 2 2 3 3 5 2" xfId="956" xr:uid="{6FD051B7-F739-48AB-A471-994B6C0C672D}"/>
    <cellStyle name="Comma 2 2 3 3 5 2 2" xfId="2076" xr:uid="{17F07CB2-3144-4200-BB84-B3F22EA05CB0}"/>
    <cellStyle name="Comma 2 2 3 3 5 3" xfId="1628" xr:uid="{0DE823FD-D10D-4ACF-B131-B619CE6922CD}"/>
    <cellStyle name="Comma 2 2 3 3 6" xfId="284" xr:uid="{B5993EBE-E994-409E-9E18-E2172F345397}"/>
    <cellStyle name="Comma 2 2 3 3 6 2" xfId="1404" xr:uid="{1A528657-C820-475F-B7ED-15241F8631C9}"/>
    <cellStyle name="Comma 2 2 3 3 7" xfId="732" xr:uid="{AF17140E-A455-436C-B35D-EDA2EF5C78B6}"/>
    <cellStyle name="Comma 2 2 3 3 7 2" xfId="1852" xr:uid="{E0FE8EE1-9B53-4B3F-9206-844DC4C22761}"/>
    <cellStyle name="Comma 2 2 3 3 8" xfId="1180" xr:uid="{7831EF86-4F53-4A4B-8E7D-39AE514F3971}"/>
    <cellStyle name="Comma 2 2 3 4" xfId="69" xr:uid="{A9F6467A-5201-40EE-8C4D-EB6A8DDD362B}"/>
    <cellStyle name="Comma 2 2 3 4 2" xfId="124" xr:uid="{4A6454C6-0EDE-438A-8333-26495D1F5CBD}"/>
    <cellStyle name="Comma 2 2 3 4 2 2" xfId="236" xr:uid="{8E55443D-D523-4073-83C2-77A7B4F60573}"/>
    <cellStyle name="Comma 2 2 3 4 2 2 2" xfId="685" xr:uid="{0B5B7DA2-3ACA-465B-ACC9-14D9D38D4715}"/>
    <cellStyle name="Comma 2 2 3 4 2 2 2 2" xfId="1133" xr:uid="{1CA94D84-225E-49DD-9CA3-6B959027E182}"/>
    <cellStyle name="Comma 2 2 3 4 2 2 2 2 2" xfId="2253" xr:uid="{E05B4240-589A-4E41-B1A6-EFD443CC2711}"/>
    <cellStyle name="Comma 2 2 3 4 2 2 2 3" xfId="1805" xr:uid="{69D7829B-C626-4ED7-B6F8-B945F7EFB775}"/>
    <cellStyle name="Comma 2 2 3 4 2 2 3" xfId="461" xr:uid="{3BB50DC1-529F-4A91-8D9D-49C4B673E5F1}"/>
    <cellStyle name="Comma 2 2 3 4 2 2 3 2" xfId="1581" xr:uid="{68569E19-0E47-4F2B-9C79-1504494602DF}"/>
    <cellStyle name="Comma 2 2 3 4 2 2 4" xfId="909" xr:uid="{CA84D402-FC12-4EF2-8EE7-E44A87DD1504}"/>
    <cellStyle name="Comma 2 2 3 4 2 2 4 2" xfId="2029" xr:uid="{E751BC15-94A2-41C0-BE17-EB45548144FD}"/>
    <cellStyle name="Comma 2 2 3 4 2 2 5" xfId="1357" xr:uid="{93AE0BC4-6E1B-4899-893A-5AFEC78C6BC8}"/>
    <cellStyle name="Comma 2 2 3 4 2 3" xfId="573" xr:uid="{06399BE2-CEB4-4780-AC0F-50FED9730D5C}"/>
    <cellStyle name="Comma 2 2 3 4 2 3 2" xfId="1021" xr:uid="{84062BEE-6DA8-4115-85A7-66B97B1208F4}"/>
    <cellStyle name="Comma 2 2 3 4 2 3 2 2" xfId="2141" xr:uid="{50271CB4-2D91-4991-86EA-6EA62E5226B1}"/>
    <cellStyle name="Comma 2 2 3 4 2 3 3" xfId="1693" xr:uid="{9F0AFA0C-077A-428D-A1E7-841D7F349A1C}"/>
    <cellStyle name="Comma 2 2 3 4 2 4" xfId="349" xr:uid="{AF6AEF6C-A121-4B2E-AB80-BEBDF20B3478}"/>
    <cellStyle name="Comma 2 2 3 4 2 4 2" xfId="1469" xr:uid="{58A701F4-BB75-4E23-B148-E932CDFD4138}"/>
    <cellStyle name="Comma 2 2 3 4 2 5" xfId="797" xr:uid="{55B2BBD9-61F0-4344-94DF-65321B384596}"/>
    <cellStyle name="Comma 2 2 3 4 2 5 2" xfId="1917" xr:uid="{B1F63704-ED3E-4A33-8D7A-8D5E72A0581B}"/>
    <cellStyle name="Comma 2 2 3 4 2 6" xfId="1245" xr:uid="{21280B63-1B81-4720-BB02-1DF7C94E238D}"/>
    <cellStyle name="Comma 2 2 3 4 3" xfId="182" xr:uid="{686CAC08-25A1-4698-8183-23C1F999C2E7}"/>
    <cellStyle name="Comma 2 2 3 4 3 2" xfId="631" xr:uid="{85B5515D-1C72-480F-8D98-D422EEDEC7D7}"/>
    <cellStyle name="Comma 2 2 3 4 3 2 2" xfId="1079" xr:uid="{D4FDBBBC-1D96-4296-AFA6-A55AF926C5A2}"/>
    <cellStyle name="Comma 2 2 3 4 3 2 2 2" xfId="2199" xr:uid="{1A2ECE7F-3C58-4391-A6C9-219166BDF1E2}"/>
    <cellStyle name="Comma 2 2 3 4 3 2 3" xfId="1751" xr:uid="{3D011516-F451-4D5E-9FC6-611D74B65F9D}"/>
    <cellStyle name="Comma 2 2 3 4 3 3" xfId="407" xr:uid="{610B615A-C0FC-4795-8E37-1165EAC16CB0}"/>
    <cellStyle name="Comma 2 2 3 4 3 3 2" xfId="1527" xr:uid="{86812016-1FDC-4AB3-B0C4-B7B17EAC2074}"/>
    <cellStyle name="Comma 2 2 3 4 3 4" xfId="855" xr:uid="{56729F97-44A4-4EED-8B57-53D0FFD316B3}"/>
    <cellStyle name="Comma 2 2 3 4 3 4 2" xfId="1975" xr:uid="{BE191F57-C8C6-4DE4-959B-B06D44C10916}"/>
    <cellStyle name="Comma 2 2 3 4 3 5" xfId="1303" xr:uid="{2CAD3235-C1DB-47BF-921D-B59107CFA42A}"/>
    <cellStyle name="Comma 2 2 3 4 4" xfId="519" xr:uid="{FC7156E3-2156-46D2-9314-5B0EA9CB2F61}"/>
    <cellStyle name="Comma 2 2 3 4 4 2" xfId="967" xr:uid="{7B2E9467-BC5E-459A-AD6F-96E77AE6C88A}"/>
    <cellStyle name="Comma 2 2 3 4 4 2 2" xfId="2087" xr:uid="{954B2774-A5E1-42A1-BA3A-98BC8E302841}"/>
    <cellStyle name="Comma 2 2 3 4 4 3" xfId="1639" xr:uid="{B1784D4A-8187-445E-8A1E-9343A8E8B557}"/>
    <cellStyle name="Comma 2 2 3 4 5" xfId="295" xr:uid="{2451D87C-F002-4F08-BE6F-10031129B3E9}"/>
    <cellStyle name="Comma 2 2 3 4 5 2" xfId="1415" xr:uid="{BA4D54BD-C607-4F36-AA63-F90C11FE4DCD}"/>
    <cellStyle name="Comma 2 2 3 4 6" xfId="743" xr:uid="{D03E02B0-35AE-4937-9572-3F6A319777D5}"/>
    <cellStyle name="Comma 2 2 3 4 6 2" xfId="1863" xr:uid="{FEEC9206-D13A-4AAE-894E-EEECBA8C18D0}"/>
    <cellStyle name="Comma 2 2 3 4 7" xfId="1191" xr:uid="{55D59C5F-5EC4-4F2C-91CD-389520589538}"/>
    <cellStyle name="Comma 2 2 3 5" xfId="98" xr:uid="{F948930A-F923-45CD-BB8F-E708C5B37F03}"/>
    <cellStyle name="Comma 2 2 3 5 2" xfId="211" xr:uid="{E096E51E-5FFE-4E62-BF83-B2A607AB9774}"/>
    <cellStyle name="Comma 2 2 3 5 2 2" xfId="660" xr:uid="{1D7DFE4C-42B9-4AD8-ACB2-EAF0C24DB299}"/>
    <cellStyle name="Comma 2 2 3 5 2 2 2" xfId="1108" xr:uid="{A4D69602-6060-4F5E-BA31-346D6A3AEF39}"/>
    <cellStyle name="Comma 2 2 3 5 2 2 2 2" xfId="2228" xr:uid="{909DA26C-9EFA-4143-A063-9BB68214E24E}"/>
    <cellStyle name="Comma 2 2 3 5 2 2 3" xfId="1780" xr:uid="{9AEEE638-FF46-448B-A1FF-4AF1F9ADE437}"/>
    <cellStyle name="Comma 2 2 3 5 2 3" xfId="436" xr:uid="{2E885210-59FE-4A59-B844-9A16971979FF}"/>
    <cellStyle name="Comma 2 2 3 5 2 3 2" xfId="1556" xr:uid="{D12793F3-EC5C-4B71-9432-33CA465C48EB}"/>
    <cellStyle name="Comma 2 2 3 5 2 4" xfId="884" xr:uid="{DC9F39D6-467B-4BD8-BC39-5BE4B481C8CA}"/>
    <cellStyle name="Comma 2 2 3 5 2 4 2" xfId="2004" xr:uid="{39C393A6-8AE3-41E3-9DD4-2CBFD9108EC0}"/>
    <cellStyle name="Comma 2 2 3 5 2 5" xfId="1332" xr:uid="{00E75FB5-78CC-47FD-9B6E-D6DCF2D8F60C}"/>
    <cellStyle name="Comma 2 2 3 5 3" xfId="548" xr:uid="{F0561DB0-36E9-454D-90FB-EF55E6528D08}"/>
    <cellStyle name="Comma 2 2 3 5 3 2" xfId="996" xr:uid="{6F91481A-25D4-4AD0-AFDA-A1591A89ECDF}"/>
    <cellStyle name="Comma 2 2 3 5 3 2 2" xfId="2116" xr:uid="{A0FD5C26-D993-4CD2-A298-679CFF5B4CBF}"/>
    <cellStyle name="Comma 2 2 3 5 3 3" xfId="1668" xr:uid="{FE797F7D-0DC6-4A4C-ADF7-7C540DD45F88}"/>
    <cellStyle name="Comma 2 2 3 5 4" xfId="324" xr:uid="{0BCCA59D-81B8-4341-BC47-7BFBE58E79B2}"/>
    <cellStyle name="Comma 2 2 3 5 4 2" xfId="1444" xr:uid="{EB73A01C-7C71-49B9-B707-465B22C90FF6}"/>
    <cellStyle name="Comma 2 2 3 5 5" xfId="772" xr:uid="{253C09A9-996A-47A3-BE0F-892D2B9FC9A9}"/>
    <cellStyle name="Comma 2 2 3 5 5 2" xfId="1892" xr:uid="{D70391F8-3717-4873-A34C-CCD00397F54B}"/>
    <cellStyle name="Comma 2 2 3 5 6" xfId="1220" xr:uid="{A1F5B9F5-0DF6-4011-A499-01F3A2F3DAEF}"/>
    <cellStyle name="Comma 2 2 3 6" xfId="159" xr:uid="{FEBA7497-3C3B-4EBF-B6DA-61EE158288E5}"/>
    <cellStyle name="Comma 2 2 3 6 2" xfId="608" xr:uid="{3AAB4602-86EB-4D24-9249-EB0E0954518C}"/>
    <cellStyle name="Comma 2 2 3 6 2 2" xfId="1056" xr:uid="{5EFBB5B6-7CDA-44EB-85B7-550E89C2CCF4}"/>
    <cellStyle name="Comma 2 2 3 6 2 2 2" xfId="2176" xr:uid="{48ACF104-8F66-414A-BEF5-5902A0A4BC8A}"/>
    <cellStyle name="Comma 2 2 3 6 2 3" xfId="1728" xr:uid="{609C72A5-2F3F-4FD1-BCF1-468A9799FF6D}"/>
    <cellStyle name="Comma 2 2 3 6 3" xfId="384" xr:uid="{498341C0-9D42-43A6-BCC4-D1DC2625C917}"/>
    <cellStyle name="Comma 2 2 3 6 3 2" xfId="1504" xr:uid="{0A2A0186-68FC-4E36-B234-CA2678AE855E}"/>
    <cellStyle name="Comma 2 2 3 6 4" xfId="832" xr:uid="{E1B55211-079A-4922-B9CC-E180F8066DE1}"/>
    <cellStyle name="Comma 2 2 3 6 4 2" xfId="1952" xr:uid="{B996DAD9-F055-4C20-8137-26595821E578}"/>
    <cellStyle name="Comma 2 2 3 6 5" xfId="1280" xr:uid="{E4F24691-38CC-40CB-B038-211B26FD23D5}"/>
    <cellStyle name="Comma 2 2 3 7" xfId="496" xr:uid="{EECC26D0-5B4B-4A16-B996-9E11C0756070}"/>
    <cellStyle name="Comma 2 2 3 7 2" xfId="944" xr:uid="{56AA9ADB-C8E7-48DA-8A09-5DE989D068EB}"/>
    <cellStyle name="Comma 2 2 3 7 2 2" xfId="2064" xr:uid="{21610213-40EB-44C1-A41A-840FB08B8D96}"/>
    <cellStyle name="Comma 2 2 3 7 3" xfId="1616" xr:uid="{627F5814-540D-4198-AC2B-A716AD371A8F}"/>
    <cellStyle name="Comma 2 2 3 8" xfId="272" xr:uid="{9DFF279B-0379-43C7-AA74-F11C56102DFC}"/>
    <cellStyle name="Comma 2 2 3 8 2" xfId="1392" xr:uid="{4024ADD9-9150-4E77-A9B4-DD0AF0CC14C5}"/>
    <cellStyle name="Comma 2 2 3 9" xfId="720" xr:uid="{34E94F44-0361-4299-8F88-E9F14ABF5ABF}"/>
    <cellStyle name="Comma 2 2 3 9 2" xfId="1840" xr:uid="{FD57D226-5AD1-46D8-A09F-DCCAD383A6AE}"/>
    <cellStyle name="Comma 2 2 4" xfId="48" xr:uid="{30F307B3-CDE0-42E7-8F68-3CDEBA77A01F}"/>
    <cellStyle name="Comma 2 2 4 2" xfId="60" xr:uid="{34899C7C-4124-4C3F-A052-EA845DA28552}"/>
    <cellStyle name="Comma 2 2 4 2 2" xfId="83" xr:uid="{A1B6FA6B-9880-41CD-8B6B-7F78A0F1AB23}"/>
    <cellStyle name="Comma 2 2 4 2 2 2" xfId="138" xr:uid="{6E0E6C7D-76E4-4367-9915-5D01EDDC3F39}"/>
    <cellStyle name="Comma 2 2 4 2 2 2 2" xfId="250" xr:uid="{CB400068-A4C4-4C1D-AE1C-3C93D90D7130}"/>
    <cellStyle name="Comma 2 2 4 2 2 2 2 2" xfId="699" xr:uid="{8E4F6EF2-FE74-4F6C-B2FA-A9C60F36BE34}"/>
    <cellStyle name="Comma 2 2 4 2 2 2 2 2 2" xfId="1147" xr:uid="{B612B5FD-AC2A-43E8-B139-7E252A692521}"/>
    <cellStyle name="Comma 2 2 4 2 2 2 2 2 2 2" xfId="2267" xr:uid="{8207F45A-D777-48BF-89EB-094D86BA5AF9}"/>
    <cellStyle name="Comma 2 2 4 2 2 2 2 2 3" xfId="1819" xr:uid="{C26D5D7E-443D-4FB3-B5F5-0FEF1218E9FB}"/>
    <cellStyle name="Comma 2 2 4 2 2 2 2 3" xfId="475" xr:uid="{F7B461F3-70B9-47D1-8AB4-10C9CDFB5C1F}"/>
    <cellStyle name="Comma 2 2 4 2 2 2 2 3 2" xfId="1595" xr:uid="{6EB15B71-C1D4-4BA1-8908-D69D325D0337}"/>
    <cellStyle name="Comma 2 2 4 2 2 2 2 4" xfId="923" xr:uid="{8E0A6926-ADB4-48A4-A136-8B8C3FF84907}"/>
    <cellStyle name="Comma 2 2 4 2 2 2 2 4 2" xfId="2043" xr:uid="{4608DD0A-255F-499E-B768-0A101BE9C66D}"/>
    <cellStyle name="Comma 2 2 4 2 2 2 2 5" xfId="1371" xr:uid="{832E7E63-CFBA-4F4E-8C53-0542B79CCC26}"/>
    <cellStyle name="Comma 2 2 4 2 2 2 3" xfId="587" xr:uid="{68F5C8BF-FE84-4989-AEF5-6E231B3C57B7}"/>
    <cellStyle name="Comma 2 2 4 2 2 2 3 2" xfId="1035" xr:uid="{99C512BA-F59D-4F12-8366-3AEC5BD50979}"/>
    <cellStyle name="Comma 2 2 4 2 2 2 3 2 2" xfId="2155" xr:uid="{7AF60477-9C92-439F-BD4B-8B461FD01340}"/>
    <cellStyle name="Comma 2 2 4 2 2 2 3 3" xfId="1707" xr:uid="{B5450392-F367-43B7-9967-E84C1F40C876}"/>
    <cellStyle name="Comma 2 2 4 2 2 2 4" xfId="363" xr:uid="{9B6F5289-1A83-4BB5-AB3D-2FAD939A78AD}"/>
    <cellStyle name="Comma 2 2 4 2 2 2 4 2" xfId="1483" xr:uid="{3DD4C81E-94A2-4322-8E96-CC5197D9BE1E}"/>
    <cellStyle name="Comma 2 2 4 2 2 2 5" xfId="811" xr:uid="{5A0DFA83-1F54-44E9-B29B-D12E4807D29A}"/>
    <cellStyle name="Comma 2 2 4 2 2 2 5 2" xfId="1931" xr:uid="{8AA78154-E97B-48EA-8034-ED56767F0133}"/>
    <cellStyle name="Comma 2 2 4 2 2 2 6" xfId="1259" xr:uid="{04100D54-62CC-47E6-A2BC-57DADBA5BD88}"/>
    <cellStyle name="Comma 2 2 4 2 2 3" xfId="196" xr:uid="{8DD3C9A9-C8E2-45F6-A105-A80E2878F0BC}"/>
    <cellStyle name="Comma 2 2 4 2 2 3 2" xfId="645" xr:uid="{DC81D2AD-51D1-4662-B5D6-A84298F8FADB}"/>
    <cellStyle name="Comma 2 2 4 2 2 3 2 2" xfId="1093" xr:uid="{B669F0BF-A2C7-403A-8FA4-4013674AE95F}"/>
    <cellStyle name="Comma 2 2 4 2 2 3 2 2 2" xfId="2213" xr:uid="{3C99411E-1768-43E4-BDDB-1EB6A47F5F77}"/>
    <cellStyle name="Comma 2 2 4 2 2 3 2 3" xfId="1765" xr:uid="{B9179C7D-8937-49B0-8EAD-FC4DDF24DBEF}"/>
    <cellStyle name="Comma 2 2 4 2 2 3 3" xfId="421" xr:uid="{C8AD7599-2525-469F-BFE9-540AD92D117A}"/>
    <cellStyle name="Comma 2 2 4 2 2 3 3 2" xfId="1541" xr:uid="{80E0FA67-55D3-4180-AE75-8D8A1A7A7E0E}"/>
    <cellStyle name="Comma 2 2 4 2 2 3 4" xfId="869" xr:uid="{0B1A17C4-E764-447D-809C-B8BAC8244914}"/>
    <cellStyle name="Comma 2 2 4 2 2 3 4 2" xfId="1989" xr:uid="{2292CD18-2AEF-4D97-B3D3-D16E25D89F53}"/>
    <cellStyle name="Comma 2 2 4 2 2 3 5" xfId="1317" xr:uid="{EDBB8429-8EAC-401C-A117-FF69338E6A32}"/>
    <cellStyle name="Comma 2 2 4 2 2 4" xfId="533" xr:uid="{2114E3FD-AD44-4846-8611-D3D489C7545C}"/>
    <cellStyle name="Comma 2 2 4 2 2 4 2" xfId="981" xr:uid="{EE1C53E9-ADF9-4BB4-BCF6-7D788CAE35F3}"/>
    <cellStyle name="Comma 2 2 4 2 2 4 2 2" xfId="2101" xr:uid="{3D267D60-B192-46D4-AE03-CEE1C92E3E56}"/>
    <cellStyle name="Comma 2 2 4 2 2 4 3" xfId="1653" xr:uid="{3C13EA23-22C9-4EE8-88DA-B572DD6B27E4}"/>
    <cellStyle name="Comma 2 2 4 2 2 5" xfId="309" xr:uid="{916FEBEC-5299-4A04-9FF1-7FA01D83D7F4}"/>
    <cellStyle name="Comma 2 2 4 2 2 5 2" xfId="1429" xr:uid="{7A0CE12E-B474-4E83-A5E9-11A5041F5A38}"/>
    <cellStyle name="Comma 2 2 4 2 2 6" xfId="757" xr:uid="{DD4D8FB4-3258-4DB3-9BC7-190DBFA36BB9}"/>
    <cellStyle name="Comma 2 2 4 2 2 6 2" xfId="1877" xr:uid="{3F26BA34-D992-422B-8DB7-F6136629AC0B}"/>
    <cellStyle name="Comma 2 2 4 2 2 7" xfId="1205" xr:uid="{BEDEA270-9195-4C18-9FF6-490189EA650E}"/>
    <cellStyle name="Comma 2 2 4 2 3" xfId="112" xr:uid="{8EE8CA33-005F-4AB5-98A7-13F88713A09D}"/>
    <cellStyle name="Comma 2 2 4 2 3 2" xfId="225" xr:uid="{8A28011F-D27C-4552-87E4-3AE3CFF1D672}"/>
    <cellStyle name="Comma 2 2 4 2 3 2 2" xfId="674" xr:uid="{46553B76-10FE-4584-AAEF-01F27E06A4CA}"/>
    <cellStyle name="Comma 2 2 4 2 3 2 2 2" xfId="1122" xr:uid="{F9B0CD93-1E61-4129-8ABE-E2435BEE7674}"/>
    <cellStyle name="Comma 2 2 4 2 3 2 2 2 2" xfId="2242" xr:uid="{F56B0A1E-A515-4AB0-BA4B-1E2B42036525}"/>
    <cellStyle name="Comma 2 2 4 2 3 2 2 3" xfId="1794" xr:uid="{70849D42-5778-4C91-B7CD-BA7F222E8741}"/>
    <cellStyle name="Comma 2 2 4 2 3 2 3" xfId="450" xr:uid="{E81E14FC-C015-4804-9299-F630DB579E8A}"/>
    <cellStyle name="Comma 2 2 4 2 3 2 3 2" xfId="1570" xr:uid="{15FEA2D3-73F5-47BB-B7E9-61E452EDC52D}"/>
    <cellStyle name="Comma 2 2 4 2 3 2 4" xfId="898" xr:uid="{D837080C-830D-4F15-BE66-75923CE7F510}"/>
    <cellStyle name="Comma 2 2 4 2 3 2 4 2" xfId="2018" xr:uid="{A558C3BB-8EE7-4542-8037-A6E6231FC45E}"/>
    <cellStyle name="Comma 2 2 4 2 3 2 5" xfId="1346" xr:uid="{17D5BA5F-EAED-4F9D-8858-30EE6CE75011}"/>
    <cellStyle name="Comma 2 2 4 2 3 3" xfId="562" xr:uid="{57A8EE66-CA40-4BA1-B39E-CCD4E40DA6F8}"/>
    <cellStyle name="Comma 2 2 4 2 3 3 2" xfId="1010" xr:uid="{A71E73DB-2567-483E-A944-55D613D8ED91}"/>
    <cellStyle name="Comma 2 2 4 2 3 3 2 2" xfId="2130" xr:uid="{6135BCA5-ECB2-4571-A809-4403613C2B2B}"/>
    <cellStyle name="Comma 2 2 4 2 3 3 3" xfId="1682" xr:uid="{2A4ED016-1B2D-47E8-B2E4-C5603A23FA44}"/>
    <cellStyle name="Comma 2 2 4 2 3 4" xfId="338" xr:uid="{3F70941C-56CA-4D25-9164-3372FCC53694}"/>
    <cellStyle name="Comma 2 2 4 2 3 4 2" xfId="1458" xr:uid="{EE9AE880-7CA8-4C64-AF4F-13A9DD5F8A1A}"/>
    <cellStyle name="Comma 2 2 4 2 3 5" xfId="786" xr:uid="{58D062E8-1559-4AA5-A6B1-3D717916AA4E}"/>
    <cellStyle name="Comma 2 2 4 2 3 5 2" xfId="1906" xr:uid="{2316B14A-CCB5-4C6B-8C7B-AFAB3768DEC1}"/>
    <cellStyle name="Comma 2 2 4 2 3 6" xfId="1234" xr:uid="{1565038E-73A9-48C9-9407-629598674BBD}"/>
    <cellStyle name="Comma 2 2 4 2 4" xfId="173" xr:uid="{A9CBE812-C3E5-4A05-9341-8BFFE603A672}"/>
    <cellStyle name="Comma 2 2 4 2 4 2" xfId="622" xr:uid="{F88942C5-AE70-47B1-BE6B-C13017BDA6D5}"/>
    <cellStyle name="Comma 2 2 4 2 4 2 2" xfId="1070" xr:uid="{F44B973E-F0DA-4E7C-BF7B-BE9F4A4954E3}"/>
    <cellStyle name="Comma 2 2 4 2 4 2 2 2" xfId="2190" xr:uid="{38CE2E00-D1FB-4CE0-AB03-0091D58C3733}"/>
    <cellStyle name="Comma 2 2 4 2 4 2 3" xfId="1742" xr:uid="{5AFF715C-ED88-4CC2-9B06-5273F04C584B}"/>
    <cellStyle name="Comma 2 2 4 2 4 3" xfId="398" xr:uid="{865D6023-4C67-46E6-A148-ACC8D746E54F}"/>
    <cellStyle name="Comma 2 2 4 2 4 3 2" xfId="1518" xr:uid="{4CC9D78E-69B0-46C7-8463-40EA708FFDBD}"/>
    <cellStyle name="Comma 2 2 4 2 4 4" xfId="846" xr:uid="{045C5B3F-4BD5-4477-83A9-65C64C687833}"/>
    <cellStyle name="Comma 2 2 4 2 4 4 2" xfId="1966" xr:uid="{4E559CB7-2E11-4B8D-AED0-57211FE7B06C}"/>
    <cellStyle name="Comma 2 2 4 2 4 5" xfId="1294" xr:uid="{869DD15C-604B-420C-A7EE-12BF416E40D7}"/>
    <cellStyle name="Comma 2 2 4 2 5" xfId="510" xr:uid="{8617BA84-863D-46AE-B94E-21833901BC91}"/>
    <cellStyle name="Comma 2 2 4 2 5 2" xfId="958" xr:uid="{F23E1041-9859-4A3B-B0A7-8C4EB0B6753D}"/>
    <cellStyle name="Comma 2 2 4 2 5 2 2" xfId="2078" xr:uid="{5834F3FF-248E-4ABB-9057-70D6C069AA27}"/>
    <cellStyle name="Comma 2 2 4 2 5 3" xfId="1630" xr:uid="{71FDA00A-BA79-4C09-8397-59E8B2522E32}"/>
    <cellStyle name="Comma 2 2 4 2 6" xfId="286" xr:uid="{5DD7C98C-12A9-44BC-B708-7663F3D82E65}"/>
    <cellStyle name="Comma 2 2 4 2 6 2" xfId="1406" xr:uid="{6C03FA89-3C59-44C3-9FA4-A86B2399C97B}"/>
    <cellStyle name="Comma 2 2 4 2 7" xfId="734" xr:uid="{6C58E31D-6EAA-41F9-AE2D-1E8F109823B3}"/>
    <cellStyle name="Comma 2 2 4 2 7 2" xfId="1854" xr:uid="{A0A8B27D-C7B7-4A78-8E2C-43D1135114BA}"/>
    <cellStyle name="Comma 2 2 4 2 8" xfId="1182" xr:uid="{ED2C6D8B-7E75-497F-8D8E-1B9F9767FFF5}"/>
    <cellStyle name="Comma 2 2 4 3" xfId="71" xr:uid="{81201161-4EFD-4817-A430-A5B6446CC874}"/>
    <cellStyle name="Comma 2 2 4 3 2" xfId="126" xr:uid="{993B06A6-234D-43A9-9458-ACD1BBD45287}"/>
    <cellStyle name="Comma 2 2 4 3 2 2" xfId="238" xr:uid="{533A6873-38CE-4812-AAA7-996E54EBCDA4}"/>
    <cellStyle name="Comma 2 2 4 3 2 2 2" xfId="687" xr:uid="{CABA50C8-35E8-462F-BBC4-537B6711E7E5}"/>
    <cellStyle name="Comma 2 2 4 3 2 2 2 2" xfId="1135" xr:uid="{41DC2E17-279F-4B2F-85C0-77F8192334D4}"/>
    <cellStyle name="Comma 2 2 4 3 2 2 2 2 2" xfId="2255" xr:uid="{07B16724-B100-40CB-8297-7591C9A5C497}"/>
    <cellStyle name="Comma 2 2 4 3 2 2 2 3" xfId="1807" xr:uid="{6F1D7450-643E-4F73-862F-5DF40F01359A}"/>
    <cellStyle name="Comma 2 2 4 3 2 2 3" xfId="463" xr:uid="{DD27381A-54B5-402A-BCA6-8C9FCBB529D2}"/>
    <cellStyle name="Comma 2 2 4 3 2 2 3 2" xfId="1583" xr:uid="{14781364-D518-4437-93AB-02C52E4AE880}"/>
    <cellStyle name="Comma 2 2 4 3 2 2 4" xfId="911" xr:uid="{F4ACDE6F-AD0F-45E8-9035-F4E791BE4251}"/>
    <cellStyle name="Comma 2 2 4 3 2 2 4 2" xfId="2031" xr:uid="{00B91173-C127-4A2F-911F-73042FF8236D}"/>
    <cellStyle name="Comma 2 2 4 3 2 2 5" xfId="1359" xr:uid="{462F75F4-101A-47F8-9EB1-6041435D8D59}"/>
    <cellStyle name="Comma 2 2 4 3 2 3" xfId="575" xr:uid="{98D87A17-BB99-41C5-9069-0B2D330EDE58}"/>
    <cellStyle name="Comma 2 2 4 3 2 3 2" xfId="1023" xr:uid="{72D9DAF8-E41A-4E24-805C-4C2349359046}"/>
    <cellStyle name="Comma 2 2 4 3 2 3 2 2" xfId="2143" xr:uid="{62871AA5-C925-4B37-95A8-564FAC498661}"/>
    <cellStyle name="Comma 2 2 4 3 2 3 3" xfId="1695" xr:uid="{CBD2BCAD-A281-4CC7-814A-CE4113DAE9BB}"/>
    <cellStyle name="Comma 2 2 4 3 2 4" xfId="351" xr:uid="{42265DC0-B5C3-4C8F-903F-1A0286F05DD9}"/>
    <cellStyle name="Comma 2 2 4 3 2 4 2" xfId="1471" xr:uid="{807763E4-6C98-4917-B1A6-A75E4528EE3D}"/>
    <cellStyle name="Comma 2 2 4 3 2 5" xfId="799" xr:uid="{FE0A65F3-94F3-4FFA-8600-54E63758F841}"/>
    <cellStyle name="Comma 2 2 4 3 2 5 2" xfId="1919" xr:uid="{0FBF7E86-2E5F-4FA4-8120-2334827C155F}"/>
    <cellStyle name="Comma 2 2 4 3 2 6" xfId="1247" xr:uid="{031F7D4A-7F35-436A-BB61-1084BE0CD697}"/>
    <cellStyle name="Comma 2 2 4 3 3" xfId="184" xr:uid="{1B32196A-2872-4E83-B9C9-72DDCAEC67A8}"/>
    <cellStyle name="Comma 2 2 4 3 3 2" xfId="633" xr:uid="{F5F1E147-6D67-4C2D-AADE-3A6337FC4CC6}"/>
    <cellStyle name="Comma 2 2 4 3 3 2 2" xfId="1081" xr:uid="{4C88F90C-4E45-43DA-ABE7-ED3F16062E36}"/>
    <cellStyle name="Comma 2 2 4 3 3 2 2 2" xfId="2201" xr:uid="{B7C81626-040C-4D7C-8714-9A329CB6F7F1}"/>
    <cellStyle name="Comma 2 2 4 3 3 2 3" xfId="1753" xr:uid="{9982BAC0-7FF2-44FA-A954-45105E0BEA7C}"/>
    <cellStyle name="Comma 2 2 4 3 3 3" xfId="409" xr:uid="{26C253F1-28C0-4981-B348-1D314CD9DBC3}"/>
    <cellStyle name="Comma 2 2 4 3 3 3 2" xfId="1529" xr:uid="{B2027E1B-D3E0-4895-8229-3D586E26E200}"/>
    <cellStyle name="Comma 2 2 4 3 3 4" xfId="857" xr:uid="{22DFB463-F314-4378-B02F-A430407954CC}"/>
    <cellStyle name="Comma 2 2 4 3 3 4 2" xfId="1977" xr:uid="{0C99D070-2634-48E4-94F7-1340C5D1A123}"/>
    <cellStyle name="Comma 2 2 4 3 3 5" xfId="1305" xr:uid="{BA8BD49B-A440-46B1-8495-6CF385CC17AF}"/>
    <cellStyle name="Comma 2 2 4 3 4" xfId="521" xr:uid="{CE4ABB41-2A48-466F-B2C7-61C9A60D8AC5}"/>
    <cellStyle name="Comma 2 2 4 3 4 2" xfId="969" xr:uid="{69287C3E-3198-4498-A7E8-19190F3271B4}"/>
    <cellStyle name="Comma 2 2 4 3 4 2 2" xfId="2089" xr:uid="{5F49E0CB-5887-43FE-B212-FF7895BFA094}"/>
    <cellStyle name="Comma 2 2 4 3 4 3" xfId="1641" xr:uid="{42770E3A-9F78-4B60-B173-2A3772194547}"/>
    <cellStyle name="Comma 2 2 4 3 5" xfId="297" xr:uid="{021EFA3F-C2AA-4A81-831F-D11ED2980836}"/>
    <cellStyle name="Comma 2 2 4 3 5 2" xfId="1417" xr:uid="{9638A206-5DE4-4806-96F7-276A94BC99D9}"/>
    <cellStyle name="Comma 2 2 4 3 6" xfId="745" xr:uid="{6010C191-C99D-497D-9E96-BC8E1382A044}"/>
    <cellStyle name="Comma 2 2 4 3 6 2" xfId="1865" xr:uid="{64757AA6-2D0D-4FBC-B997-D7951E6F009A}"/>
    <cellStyle name="Comma 2 2 4 3 7" xfId="1193" xr:uid="{FBDEC37E-CE24-4B23-B84C-95422908A5D4}"/>
    <cellStyle name="Comma 2 2 4 4" xfId="100" xr:uid="{D69AE447-F53E-4687-BA19-DDE55DF115F3}"/>
    <cellStyle name="Comma 2 2 4 4 2" xfId="213" xr:uid="{D6337803-D2E4-41FF-8352-AD66439593AA}"/>
    <cellStyle name="Comma 2 2 4 4 2 2" xfId="662" xr:uid="{46E536D8-33EC-4BF7-9ABE-FB15FB3D97F7}"/>
    <cellStyle name="Comma 2 2 4 4 2 2 2" xfId="1110" xr:uid="{E40DE180-4050-45E5-9BBA-B21CCE2688C7}"/>
    <cellStyle name="Comma 2 2 4 4 2 2 2 2" xfId="2230" xr:uid="{F8AEFC99-A06D-43BD-A0C6-E0038BA189D5}"/>
    <cellStyle name="Comma 2 2 4 4 2 2 3" xfId="1782" xr:uid="{6A6FD113-2F60-49E6-B8BC-C55B188D2DCA}"/>
    <cellStyle name="Comma 2 2 4 4 2 3" xfId="438" xr:uid="{1D98A3A2-5B22-47C7-B552-22E9F167F8AA}"/>
    <cellStyle name="Comma 2 2 4 4 2 3 2" xfId="1558" xr:uid="{E73CC572-355E-4E3A-9175-17E7EF17FBCB}"/>
    <cellStyle name="Comma 2 2 4 4 2 4" xfId="886" xr:uid="{5AAEAB28-64B1-426E-8A28-770B7071EDB0}"/>
    <cellStyle name="Comma 2 2 4 4 2 4 2" xfId="2006" xr:uid="{CB95F9F1-9719-4574-BB1A-A9CC867786A6}"/>
    <cellStyle name="Comma 2 2 4 4 2 5" xfId="1334" xr:uid="{943C12F0-0A38-44F0-89B9-D1F2B309685B}"/>
    <cellStyle name="Comma 2 2 4 4 3" xfId="550" xr:uid="{C12BF583-28B9-470E-A76D-632553B45EEB}"/>
    <cellStyle name="Comma 2 2 4 4 3 2" xfId="998" xr:uid="{EB8C200B-0FB4-4C47-AD40-DCB80F3776A5}"/>
    <cellStyle name="Comma 2 2 4 4 3 2 2" xfId="2118" xr:uid="{B9C3749C-B43B-4CB4-9F0E-48C001E8D6B5}"/>
    <cellStyle name="Comma 2 2 4 4 3 3" xfId="1670" xr:uid="{E4D7612B-8CCC-4B2B-A661-A1CCD89B1810}"/>
    <cellStyle name="Comma 2 2 4 4 4" xfId="326" xr:uid="{C7A3DC4F-EA70-4116-8C13-07829E48D449}"/>
    <cellStyle name="Comma 2 2 4 4 4 2" xfId="1446" xr:uid="{625278CD-5DAB-4BC3-B7AB-279E3A3491A0}"/>
    <cellStyle name="Comma 2 2 4 4 5" xfId="774" xr:uid="{649F3A1D-0D5F-471B-8405-F1B394A4D285}"/>
    <cellStyle name="Comma 2 2 4 4 5 2" xfId="1894" xr:uid="{4703D111-3D5E-4B19-9859-7EC37D002130}"/>
    <cellStyle name="Comma 2 2 4 4 6" xfId="1222" xr:uid="{84D05C60-46EE-417F-B287-011DBE7B87E1}"/>
    <cellStyle name="Comma 2 2 4 5" xfId="161" xr:uid="{83AC4B92-E86B-4FCD-A05F-66F233295FD9}"/>
    <cellStyle name="Comma 2 2 4 5 2" xfId="610" xr:uid="{302910A1-4EA6-4DF9-A597-373EF8B2283A}"/>
    <cellStyle name="Comma 2 2 4 5 2 2" xfId="1058" xr:uid="{D192F8F8-BEFC-46B1-AC1C-A3FF92D1B1FC}"/>
    <cellStyle name="Comma 2 2 4 5 2 2 2" xfId="2178" xr:uid="{8B143054-82D0-4E49-AAD6-0E0AD0E245AA}"/>
    <cellStyle name="Comma 2 2 4 5 2 3" xfId="1730" xr:uid="{300F6DC7-BBB5-4C78-B940-7847485897AC}"/>
    <cellStyle name="Comma 2 2 4 5 3" xfId="386" xr:uid="{8D47D072-1778-45F7-9F44-54D621B2A896}"/>
    <cellStyle name="Comma 2 2 4 5 3 2" xfId="1506" xr:uid="{36A1F711-1419-44C3-AAC9-95AFA9418A12}"/>
    <cellStyle name="Comma 2 2 4 5 4" xfId="834" xr:uid="{4B9D1263-830E-45EB-ABB6-D50B5BA7B611}"/>
    <cellStyle name="Comma 2 2 4 5 4 2" xfId="1954" xr:uid="{725E22A3-B7A2-4CBD-AD05-B5B5ECA39DBA}"/>
    <cellStyle name="Comma 2 2 4 5 5" xfId="1282" xr:uid="{A44B00E6-B65E-4CE3-A85A-93E677EB5D91}"/>
    <cellStyle name="Comma 2 2 4 6" xfId="498" xr:uid="{3350A3E9-59B8-4F79-84B0-AF1C99125C1B}"/>
    <cellStyle name="Comma 2 2 4 6 2" xfId="946" xr:uid="{B8654DC9-7D94-4F48-A88D-462227D8A271}"/>
    <cellStyle name="Comma 2 2 4 6 2 2" xfId="2066" xr:uid="{2B1A8B56-7D1F-42C2-A473-780DDAEAEED9}"/>
    <cellStyle name="Comma 2 2 4 6 3" xfId="1618" xr:uid="{F6F8335F-2E60-4D34-BAC3-FA5D05E4E2B0}"/>
    <cellStyle name="Comma 2 2 4 7" xfId="274" xr:uid="{4FD8A8CE-515E-4D8B-92CB-FEDFEF501533}"/>
    <cellStyle name="Comma 2 2 4 7 2" xfId="1394" xr:uid="{FFBE5D04-C19A-4E0C-BAD9-E27821CD3F40}"/>
    <cellStyle name="Comma 2 2 4 8" xfId="722" xr:uid="{826C925E-1F13-4415-A3CD-F71A2B112B24}"/>
    <cellStyle name="Comma 2 2 4 8 2" xfId="1842" xr:uid="{33C8DBA1-E8D8-4FE8-8B80-51317132FE81}"/>
    <cellStyle name="Comma 2 2 4 9" xfId="1170" xr:uid="{0F8F4079-867A-4CF4-9F95-8B88F70304AD}"/>
    <cellStyle name="Comma 2 2 5" xfId="54" xr:uid="{B4E0D171-E077-4E0F-A04D-AE1B42BF08A3}"/>
    <cellStyle name="Comma 2 2 5 2" xfId="77" xr:uid="{0D1F92E3-1B72-4CA4-9929-13C5E068C665}"/>
    <cellStyle name="Comma 2 2 5 2 2" xfId="132" xr:uid="{3945E84B-0C7F-4214-9B1C-2BDA327613D8}"/>
    <cellStyle name="Comma 2 2 5 2 2 2" xfId="244" xr:uid="{792AD8E3-EA87-4371-A6E3-709E7BDADB81}"/>
    <cellStyle name="Comma 2 2 5 2 2 2 2" xfId="693" xr:uid="{3C70CD3B-9AEB-4B85-B744-99CD661C91A7}"/>
    <cellStyle name="Comma 2 2 5 2 2 2 2 2" xfId="1141" xr:uid="{CC31FFAC-C9DC-4F5E-88D8-8AB275A58E33}"/>
    <cellStyle name="Comma 2 2 5 2 2 2 2 2 2" xfId="2261" xr:uid="{7762F54B-D90E-4BE6-B7AE-4C03FBAE0D64}"/>
    <cellStyle name="Comma 2 2 5 2 2 2 2 3" xfId="1813" xr:uid="{AF6A3C2B-9F02-44EF-9C6E-460D5C700547}"/>
    <cellStyle name="Comma 2 2 5 2 2 2 3" xfId="469" xr:uid="{6376FEAF-DB52-4775-BDFB-308AD54CBC15}"/>
    <cellStyle name="Comma 2 2 5 2 2 2 3 2" xfId="1589" xr:uid="{1D551381-781B-4740-9D7D-B781A23B8B11}"/>
    <cellStyle name="Comma 2 2 5 2 2 2 4" xfId="917" xr:uid="{2956E011-9FA4-4322-8816-D336BB0BD44B}"/>
    <cellStyle name="Comma 2 2 5 2 2 2 4 2" xfId="2037" xr:uid="{B3A69E67-9F92-4EE3-A41A-D21BE0674198}"/>
    <cellStyle name="Comma 2 2 5 2 2 2 5" xfId="1365" xr:uid="{C39E9605-2B5E-4E4B-9AFB-248622BA7F64}"/>
    <cellStyle name="Comma 2 2 5 2 2 3" xfId="581" xr:uid="{E34E715B-B52F-4C22-AF3A-6E870B709F08}"/>
    <cellStyle name="Comma 2 2 5 2 2 3 2" xfId="1029" xr:uid="{4B5E4F54-BF36-4224-A765-530CD63AD6E3}"/>
    <cellStyle name="Comma 2 2 5 2 2 3 2 2" xfId="2149" xr:uid="{3BE1599C-7062-4381-9638-ABE857AFE828}"/>
    <cellStyle name="Comma 2 2 5 2 2 3 3" xfId="1701" xr:uid="{5ED39A8F-6F80-42D6-A3BC-CAE87A1AD57B}"/>
    <cellStyle name="Comma 2 2 5 2 2 4" xfId="357" xr:uid="{45947BD3-373E-407D-B5A6-30338208BB90}"/>
    <cellStyle name="Comma 2 2 5 2 2 4 2" xfId="1477" xr:uid="{E50F662F-8708-49AC-99C6-2D9F880F6012}"/>
    <cellStyle name="Comma 2 2 5 2 2 5" xfId="805" xr:uid="{BFA428AD-5A71-4F55-84FB-1F522310D470}"/>
    <cellStyle name="Comma 2 2 5 2 2 5 2" xfId="1925" xr:uid="{78DD628E-5C8C-49BD-962E-974D9B61D67A}"/>
    <cellStyle name="Comma 2 2 5 2 2 6" xfId="1253" xr:uid="{4545B3C6-8921-479A-8022-4B78D6729EF0}"/>
    <cellStyle name="Comma 2 2 5 2 3" xfId="190" xr:uid="{F2F88300-21A0-4495-B0C4-1EC8F936A9AE}"/>
    <cellStyle name="Comma 2 2 5 2 3 2" xfId="639" xr:uid="{118D3F19-AAAB-4715-9130-3C69C6D2C96F}"/>
    <cellStyle name="Comma 2 2 5 2 3 2 2" xfId="1087" xr:uid="{DB6412A1-22FE-49B9-9263-4EECAD8D47C5}"/>
    <cellStyle name="Comma 2 2 5 2 3 2 2 2" xfId="2207" xr:uid="{DC6A4DB1-B0B7-430B-915F-E2C1AD7894D8}"/>
    <cellStyle name="Comma 2 2 5 2 3 2 3" xfId="1759" xr:uid="{E8291E48-88B4-44D9-B9F2-03032105BD16}"/>
    <cellStyle name="Comma 2 2 5 2 3 3" xfId="415" xr:uid="{EA884CF8-C3E8-4BB5-A203-DBB9D4C96223}"/>
    <cellStyle name="Comma 2 2 5 2 3 3 2" xfId="1535" xr:uid="{43C56190-EA79-484F-9C58-980041D24F06}"/>
    <cellStyle name="Comma 2 2 5 2 3 4" xfId="863" xr:uid="{D9BAD06A-504E-4482-B159-60CF9EB2AA1A}"/>
    <cellStyle name="Comma 2 2 5 2 3 4 2" xfId="1983" xr:uid="{CD22CB7C-A2C9-4AF1-9100-022E35401364}"/>
    <cellStyle name="Comma 2 2 5 2 3 5" xfId="1311" xr:uid="{C676387F-CC98-4F17-A6A4-C12879C3A7AE}"/>
    <cellStyle name="Comma 2 2 5 2 4" xfId="527" xr:uid="{B4C159D3-A94D-4E26-8964-78B050A20D3D}"/>
    <cellStyle name="Comma 2 2 5 2 4 2" xfId="975" xr:uid="{54360185-1B27-481A-B5ED-C6D880D551B0}"/>
    <cellStyle name="Comma 2 2 5 2 4 2 2" xfId="2095" xr:uid="{1860650D-F87A-4B63-BF15-D384AAC91040}"/>
    <cellStyle name="Comma 2 2 5 2 4 3" xfId="1647" xr:uid="{C714CEEB-C1EF-4DD0-83D8-B576FEA2941A}"/>
    <cellStyle name="Comma 2 2 5 2 5" xfId="303" xr:uid="{E73AD814-D4F9-40FC-AC53-403499980950}"/>
    <cellStyle name="Comma 2 2 5 2 5 2" xfId="1423" xr:uid="{CA1744A4-0CEB-40CB-B65F-4713F3468320}"/>
    <cellStyle name="Comma 2 2 5 2 6" xfId="751" xr:uid="{97D4CDBD-65EA-49F4-A7CD-B384D1ED0A9A}"/>
    <cellStyle name="Comma 2 2 5 2 6 2" xfId="1871" xr:uid="{88011D0E-0BDB-457A-BFA1-0CA6509380EF}"/>
    <cellStyle name="Comma 2 2 5 2 7" xfId="1199" xr:uid="{59F42F1C-83A4-4EF1-9A97-E910CEAFDCEE}"/>
    <cellStyle name="Comma 2 2 5 3" xfId="106" xr:uid="{A3C339FF-B5AA-42E7-85E3-136A1B275E90}"/>
    <cellStyle name="Comma 2 2 5 3 2" xfId="219" xr:uid="{014C6C96-07DF-4552-9647-A7037816C55A}"/>
    <cellStyle name="Comma 2 2 5 3 2 2" xfId="668" xr:uid="{F10DA6B8-A9BB-4D93-A2DB-DC4371B5F2E3}"/>
    <cellStyle name="Comma 2 2 5 3 2 2 2" xfId="1116" xr:uid="{6565D951-39D8-42FC-B210-81127883E26A}"/>
    <cellStyle name="Comma 2 2 5 3 2 2 2 2" xfId="2236" xr:uid="{8A5988CC-7568-4C20-A8C2-2D37A364B3CB}"/>
    <cellStyle name="Comma 2 2 5 3 2 2 3" xfId="1788" xr:uid="{A5C754FA-9F60-4A71-819F-75A478F370E7}"/>
    <cellStyle name="Comma 2 2 5 3 2 3" xfId="444" xr:uid="{5D198986-0D7B-44A9-B9E8-3B3668CDDF1B}"/>
    <cellStyle name="Comma 2 2 5 3 2 3 2" xfId="1564" xr:uid="{439F8852-85CE-4831-B13D-0288ABBB0616}"/>
    <cellStyle name="Comma 2 2 5 3 2 4" xfId="892" xr:uid="{30657EFF-D61A-4F7E-A156-401958D024E2}"/>
    <cellStyle name="Comma 2 2 5 3 2 4 2" xfId="2012" xr:uid="{E303A473-77FB-49C1-9471-42421D49D93C}"/>
    <cellStyle name="Comma 2 2 5 3 2 5" xfId="1340" xr:uid="{C2201AA2-D7AD-4593-A657-307A59CF173D}"/>
    <cellStyle name="Comma 2 2 5 3 3" xfId="556" xr:uid="{87956F87-966D-4250-8A64-C6ECAE02E1D6}"/>
    <cellStyle name="Comma 2 2 5 3 3 2" xfId="1004" xr:uid="{ED577588-5CDB-4419-839F-164932F520B2}"/>
    <cellStyle name="Comma 2 2 5 3 3 2 2" xfId="2124" xr:uid="{39AFB8FD-227E-425C-9F38-2125ECE4B233}"/>
    <cellStyle name="Comma 2 2 5 3 3 3" xfId="1676" xr:uid="{E43BFF3C-9DFB-463C-A442-EAA1103251CC}"/>
    <cellStyle name="Comma 2 2 5 3 4" xfId="332" xr:uid="{C0E5E6FE-C089-473B-A2F3-042BECAADED4}"/>
    <cellStyle name="Comma 2 2 5 3 4 2" xfId="1452" xr:uid="{0FBDD6F3-B0AF-4B55-8068-EC1FAC7D1A0F}"/>
    <cellStyle name="Comma 2 2 5 3 5" xfId="780" xr:uid="{3B23414C-6AFB-4125-858E-71945FAA2DF6}"/>
    <cellStyle name="Comma 2 2 5 3 5 2" xfId="1900" xr:uid="{90F85808-1D91-4298-95ED-DC622298F250}"/>
    <cellStyle name="Comma 2 2 5 3 6" xfId="1228" xr:uid="{A77F0C54-9118-4747-AC89-7E17A55824A2}"/>
    <cellStyle name="Comma 2 2 5 4" xfId="167" xr:uid="{30676FF9-5B09-458A-8E6D-9A9CB88E5CCF}"/>
    <cellStyle name="Comma 2 2 5 4 2" xfId="616" xr:uid="{E90212CB-A07F-4102-94C3-7D80A6401ABA}"/>
    <cellStyle name="Comma 2 2 5 4 2 2" xfId="1064" xr:uid="{A9B8CAFB-ACCC-4E2A-B6F5-5F79D7BECBD7}"/>
    <cellStyle name="Comma 2 2 5 4 2 2 2" xfId="2184" xr:uid="{C8084755-0C86-4C2E-BEE0-7FD4E6503AFD}"/>
    <cellStyle name="Comma 2 2 5 4 2 3" xfId="1736" xr:uid="{9FE4D798-B5FC-4923-9ADD-257BE8C81937}"/>
    <cellStyle name="Comma 2 2 5 4 3" xfId="392" xr:uid="{EB10C918-98C3-4E10-8CE4-95BB8B211B3B}"/>
    <cellStyle name="Comma 2 2 5 4 3 2" xfId="1512" xr:uid="{FCA09B7C-F553-4AE8-88F9-772EC44ED351}"/>
    <cellStyle name="Comma 2 2 5 4 4" xfId="840" xr:uid="{CE85220E-0539-4222-8F62-4682A7ECDE45}"/>
    <cellStyle name="Comma 2 2 5 4 4 2" xfId="1960" xr:uid="{5C10DDD9-FB5D-46AB-B63C-5BFAD5EFEA60}"/>
    <cellStyle name="Comma 2 2 5 4 5" xfId="1288" xr:uid="{34D9F5AC-3C47-462B-B1FE-9A5695B75EE1}"/>
    <cellStyle name="Comma 2 2 5 5" xfId="504" xr:uid="{EB0D5A5D-AC7C-4432-A497-D613627C35D0}"/>
    <cellStyle name="Comma 2 2 5 5 2" xfId="952" xr:uid="{7BBE1B5F-A633-43C8-8A74-2B0FC382D980}"/>
    <cellStyle name="Comma 2 2 5 5 2 2" xfId="2072" xr:uid="{CC034D7B-DA2B-4F35-A770-1112D103DB7E}"/>
    <cellStyle name="Comma 2 2 5 5 3" xfId="1624" xr:uid="{A2CCBFB1-C882-4DBF-9726-7BD645CE8F3D}"/>
    <cellStyle name="Comma 2 2 5 6" xfId="280" xr:uid="{A01DFEDC-8971-4300-B8E0-998EB991837F}"/>
    <cellStyle name="Comma 2 2 5 6 2" xfId="1400" xr:uid="{FA64EA1E-279C-4E66-921E-278BB1A38347}"/>
    <cellStyle name="Comma 2 2 5 7" xfId="728" xr:uid="{B352FBD8-4302-4FFD-B1AD-D3EA4967A172}"/>
    <cellStyle name="Comma 2 2 5 7 2" xfId="1848" xr:uid="{1E52F60A-EFE9-461E-BBC6-2AB75A08056C}"/>
    <cellStyle name="Comma 2 2 5 8" xfId="1176" xr:uid="{08392F31-B1E2-4347-931D-3057FEFC3E35}"/>
    <cellStyle name="Comma 2 2 6" xfId="65" xr:uid="{0D3C4CA6-A491-433A-9339-9C031E932F71}"/>
    <cellStyle name="Comma 2 2 6 2" xfId="120" xr:uid="{6B002044-3B7A-49D6-BDF8-55E6CAB1F8A8}"/>
    <cellStyle name="Comma 2 2 6 2 2" xfId="232" xr:uid="{4219FE30-9F6C-473E-8756-745CA80985FA}"/>
    <cellStyle name="Comma 2 2 6 2 2 2" xfId="681" xr:uid="{100C9D9F-26F5-4B90-8A34-0BE7C77080AC}"/>
    <cellStyle name="Comma 2 2 6 2 2 2 2" xfId="1129" xr:uid="{21FF1DE9-68C4-4890-B4A4-72BF77A42535}"/>
    <cellStyle name="Comma 2 2 6 2 2 2 2 2" xfId="2249" xr:uid="{C10BA190-725E-475A-AF41-688EF3385985}"/>
    <cellStyle name="Comma 2 2 6 2 2 2 3" xfId="1801" xr:uid="{B7C1D7DC-E39A-4EF1-A900-AB786E8C50CB}"/>
    <cellStyle name="Comma 2 2 6 2 2 3" xfId="457" xr:uid="{F5E45546-11CB-43CF-AE92-0B80AC171BA4}"/>
    <cellStyle name="Comma 2 2 6 2 2 3 2" xfId="1577" xr:uid="{FC8245CA-686C-4CF9-B462-253B9884C1EB}"/>
    <cellStyle name="Comma 2 2 6 2 2 4" xfId="905" xr:uid="{2C7D30A2-07EB-4133-91B8-CADC71B18B47}"/>
    <cellStyle name="Comma 2 2 6 2 2 4 2" xfId="2025" xr:uid="{58F4E12F-AAE1-4F66-9C85-678ED4B6819F}"/>
    <cellStyle name="Comma 2 2 6 2 2 5" xfId="1353" xr:uid="{63BCE1F5-9A43-4D46-9C57-97C084C59151}"/>
    <cellStyle name="Comma 2 2 6 2 3" xfId="569" xr:uid="{0C96D400-0FC8-4F9D-97C2-2E2EB4103BB0}"/>
    <cellStyle name="Comma 2 2 6 2 3 2" xfId="1017" xr:uid="{217F98FB-D2F1-4793-B8B3-965654043B55}"/>
    <cellStyle name="Comma 2 2 6 2 3 2 2" xfId="2137" xr:uid="{7A09C51A-CA90-4A05-9DF3-D45A64518F9A}"/>
    <cellStyle name="Comma 2 2 6 2 3 3" xfId="1689" xr:uid="{DEB392CF-80BF-4FC4-88E7-BAEE56101EAE}"/>
    <cellStyle name="Comma 2 2 6 2 4" xfId="345" xr:uid="{664FA7B1-EC9B-4763-81B9-E71E0B42D5D1}"/>
    <cellStyle name="Comma 2 2 6 2 4 2" xfId="1465" xr:uid="{10CF1DAE-D69C-443D-8E20-CA057E6B937D}"/>
    <cellStyle name="Comma 2 2 6 2 5" xfId="793" xr:uid="{44358C45-071F-45D5-8F92-D633DCFF973C}"/>
    <cellStyle name="Comma 2 2 6 2 5 2" xfId="1913" xr:uid="{D62A2985-6653-4817-9065-FC268BACE37C}"/>
    <cellStyle name="Comma 2 2 6 2 6" xfId="1241" xr:uid="{FE616556-6AC5-41E0-8A45-6719F77809CF}"/>
    <cellStyle name="Comma 2 2 6 3" xfId="178" xr:uid="{5772CA08-2E44-411F-8F21-208EDE871907}"/>
    <cellStyle name="Comma 2 2 6 3 2" xfId="627" xr:uid="{30BD8054-7FEC-4F91-993B-29F32009346E}"/>
    <cellStyle name="Comma 2 2 6 3 2 2" xfId="1075" xr:uid="{6672D4AF-8044-47D7-A653-897326FFE24B}"/>
    <cellStyle name="Comma 2 2 6 3 2 2 2" xfId="2195" xr:uid="{34FBEE75-CC2A-4CC5-A540-D86166F65C29}"/>
    <cellStyle name="Comma 2 2 6 3 2 3" xfId="1747" xr:uid="{05D65BB7-A018-4F6B-A18D-7C08F65CFBE7}"/>
    <cellStyle name="Comma 2 2 6 3 3" xfId="403" xr:uid="{B0917335-B18E-4BD8-A372-FAD406B8BCA8}"/>
    <cellStyle name="Comma 2 2 6 3 3 2" xfId="1523" xr:uid="{34650287-F761-471D-B2B3-2C1747038B0B}"/>
    <cellStyle name="Comma 2 2 6 3 4" xfId="851" xr:uid="{C27956A1-E9FC-465C-8C45-A8F7A267C8A5}"/>
    <cellStyle name="Comma 2 2 6 3 4 2" xfId="1971" xr:uid="{39716DD7-85AA-45D6-A6F1-9B70CBACDE6A}"/>
    <cellStyle name="Comma 2 2 6 3 5" xfId="1299" xr:uid="{B180034C-2EBC-40AD-8DF4-A410AC8837D0}"/>
    <cellStyle name="Comma 2 2 6 4" xfId="515" xr:uid="{9BB00710-81FF-46C6-8665-D650A8EE83FE}"/>
    <cellStyle name="Comma 2 2 6 4 2" xfId="963" xr:uid="{3C431D49-81EE-4057-BEB3-7C618862276C}"/>
    <cellStyle name="Comma 2 2 6 4 2 2" xfId="2083" xr:uid="{AE474CC5-FC59-4A64-9395-3F7851778D0E}"/>
    <cellStyle name="Comma 2 2 6 4 3" xfId="1635" xr:uid="{3F7AFC58-93A6-4735-9F17-C553023EF4A2}"/>
    <cellStyle name="Comma 2 2 6 5" xfId="291" xr:uid="{D8BE0A5D-A26F-4807-BEA2-7E3DF35A0E2E}"/>
    <cellStyle name="Comma 2 2 6 5 2" xfId="1411" xr:uid="{2C726119-5B54-4EA4-86E5-ABF6BB3D8D8E}"/>
    <cellStyle name="Comma 2 2 6 6" xfId="739" xr:uid="{FA0CF7EA-2A15-4CD2-8F28-CE533B9F5D57}"/>
    <cellStyle name="Comma 2 2 6 6 2" xfId="1859" xr:uid="{0C6560D3-8139-4F06-B65A-212C2B5667FA}"/>
    <cellStyle name="Comma 2 2 6 7" xfId="1187" xr:uid="{C050FA86-5EE4-4A0D-9B70-C3A24040FE27}"/>
    <cellStyle name="Comma 2 2 7" xfId="94" xr:uid="{EE8397E9-6359-4BF0-B218-8E12B77AC348}"/>
    <cellStyle name="Comma 2 2 7 2" xfId="207" xr:uid="{2472E787-DCAF-4DF4-BFA6-E976AE0FD259}"/>
    <cellStyle name="Comma 2 2 7 2 2" xfId="656" xr:uid="{C46CF098-7E65-43CD-BA21-2E1433EE1EBA}"/>
    <cellStyle name="Comma 2 2 7 2 2 2" xfId="1104" xr:uid="{A51AAE9B-C695-4B33-84C0-642EFD06960C}"/>
    <cellStyle name="Comma 2 2 7 2 2 2 2" xfId="2224" xr:uid="{AC2D2AE8-F880-4E44-928D-C6C5C39A1438}"/>
    <cellStyle name="Comma 2 2 7 2 2 3" xfId="1776" xr:uid="{84356B58-3318-4E67-9B0F-2203B51BD2DE}"/>
    <cellStyle name="Comma 2 2 7 2 3" xfId="432" xr:uid="{D22E081C-35F9-4D1E-BD65-20501C165702}"/>
    <cellStyle name="Comma 2 2 7 2 3 2" xfId="1552" xr:uid="{9138B717-1A8F-4F55-97D6-8DF6B8D667AE}"/>
    <cellStyle name="Comma 2 2 7 2 4" xfId="880" xr:uid="{73F9FDA3-E83A-46A7-87E2-5E2E13AA5781}"/>
    <cellStyle name="Comma 2 2 7 2 4 2" xfId="2000" xr:uid="{77AB9445-1142-49E0-852B-437C2DBBF0E1}"/>
    <cellStyle name="Comma 2 2 7 2 5" xfId="1328" xr:uid="{6F3682AE-413C-44F0-BB6C-F4143DEEA8BB}"/>
    <cellStyle name="Comma 2 2 7 3" xfId="544" xr:uid="{F3E2C880-DDF9-4189-94DE-87ADD547E884}"/>
    <cellStyle name="Comma 2 2 7 3 2" xfId="992" xr:uid="{76D0A892-E65E-402A-9589-5D2ECE73D037}"/>
    <cellStyle name="Comma 2 2 7 3 2 2" xfId="2112" xr:uid="{17B6BFFD-826D-4E24-9B4B-AE16D541D242}"/>
    <cellStyle name="Comma 2 2 7 3 3" xfId="1664" xr:uid="{7D04C477-F8E9-4090-ACE7-D18484F2D953}"/>
    <cellStyle name="Comma 2 2 7 4" xfId="320" xr:uid="{F07D0DA9-2DEE-4490-BFB0-09EA331506FC}"/>
    <cellStyle name="Comma 2 2 7 4 2" xfId="1440" xr:uid="{42DC58F0-7174-4582-AD5D-E097879FEA85}"/>
    <cellStyle name="Comma 2 2 7 5" xfId="768" xr:uid="{C0B9F22E-FEA4-450D-8928-8B8D2868377C}"/>
    <cellStyle name="Comma 2 2 7 5 2" xfId="1888" xr:uid="{023C4FB9-2525-4083-A37E-32515D563B3C}"/>
    <cellStyle name="Comma 2 2 7 6" xfId="1216" xr:uid="{597FA9C3-0024-435D-A12F-05B7557BF076}"/>
    <cellStyle name="Comma 2 2 8" xfId="155" xr:uid="{A8E263F0-CA15-446C-887B-13576A1CCF42}"/>
    <cellStyle name="Comma 2 2 8 2" xfId="604" xr:uid="{BD5E46B7-F7FD-4927-AF98-EC860A1D996C}"/>
    <cellStyle name="Comma 2 2 8 2 2" xfId="1052" xr:uid="{015CE7BB-AA75-48E2-B575-F74133AF683A}"/>
    <cellStyle name="Comma 2 2 8 2 2 2" xfId="2172" xr:uid="{28846F1F-B48C-4D2B-92DA-B4DB3F7FFDC0}"/>
    <cellStyle name="Comma 2 2 8 2 3" xfId="1724" xr:uid="{36CDDD74-FA17-4BE2-B127-BF4A1491E9B2}"/>
    <cellStyle name="Comma 2 2 8 3" xfId="380" xr:uid="{6693DC99-8E80-4D01-BE06-D297ABEB02AB}"/>
    <cellStyle name="Comma 2 2 8 3 2" xfId="1500" xr:uid="{A4C0F14E-7706-4D9C-BF13-F484D5F26B05}"/>
    <cellStyle name="Comma 2 2 8 4" xfId="828" xr:uid="{E7A3114E-A970-419F-89F1-2950004C77E1}"/>
    <cellStyle name="Comma 2 2 8 4 2" xfId="1948" xr:uid="{A2D97332-92E0-4ABC-BCCB-64FAC6C5A77E}"/>
    <cellStyle name="Comma 2 2 8 5" xfId="1276" xr:uid="{B4D601F1-70CC-43FC-8A60-BBEFAAFCC03E}"/>
    <cellStyle name="Comma 2 2 9" xfId="492" xr:uid="{606925EF-DB23-4D75-A206-79331901A02B}"/>
    <cellStyle name="Comma 2 2 9 2" xfId="940" xr:uid="{ED51A45D-2040-4D39-8A37-45134B33E280}"/>
    <cellStyle name="Comma 2 2 9 2 2" xfId="2060" xr:uid="{9C667BB5-34A5-4723-91B0-B6987C04A6F6}"/>
    <cellStyle name="Comma 2 2 9 3" xfId="1612" xr:uid="{27E9536E-586F-41C0-B8CE-1349665C85F2}"/>
    <cellStyle name="Comma 2 3" xfId="43" xr:uid="{7418A501-8777-40F5-BEF1-A1CA58D9EEAB}"/>
    <cellStyle name="Comma 2 3 10" xfId="717" xr:uid="{464C4D66-AF23-44BA-901E-063296E49DEB}"/>
    <cellStyle name="Comma 2 3 10 2" xfId="1837" xr:uid="{6D99175E-68DF-41F2-B4B3-FA528037A285}"/>
    <cellStyle name="Comma 2 3 11" xfId="1165" xr:uid="{14F8EE48-918F-44E4-86C7-2E6AE40A50D9}"/>
    <cellStyle name="Comma 2 3 2" xfId="47" xr:uid="{B3F674E3-C782-4FB9-AF7F-689E6D395578}"/>
    <cellStyle name="Comma 2 3 2 10" xfId="1169" xr:uid="{2EC689C4-3F37-4946-948B-640F887166EA}"/>
    <cellStyle name="Comma 2 3 2 2" xfId="53" xr:uid="{5F6E0F98-DC40-4AF4-AA13-C9EBFC6713FC}"/>
    <cellStyle name="Comma 2 3 2 2 2" xfId="92" xr:uid="{559185C8-0FA7-4EBF-B934-586ADB253EFD}"/>
    <cellStyle name="Comma 2 3 2 2 2 2" xfId="88" xr:uid="{B322D9B1-9228-4E08-BEBE-BBA079A22B53}"/>
    <cellStyle name="Comma 2 3 2 2 2 2 2" xfId="143" xr:uid="{4857A8E9-B772-4397-9E59-96A4B4F66682}"/>
    <cellStyle name="Comma 2 3 2 2 2 2 2 2" xfId="255" xr:uid="{1729F37E-2BC2-4045-AF31-D1D9B2D4EE06}"/>
    <cellStyle name="Comma 2 3 2 2 2 2 2 2 2" xfId="704" xr:uid="{9662CCD5-8CBE-4EE3-AAF5-C1308A21310D}"/>
    <cellStyle name="Comma 2 3 2 2 2 2 2 2 2 2" xfId="1152" xr:uid="{853F87F5-8A62-425E-9006-5661E9038AEB}"/>
    <cellStyle name="Comma 2 3 2 2 2 2 2 2 2 2 2" xfId="2272" xr:uid="{839A1C1F-2C82-45A5-BB67-E21BC7B9AA6A}"/>
    <cellStyle name="Comma 2 3 2 2 2 2 2 2 2 3" xfId="1824" xr:uid="{CFAA4775-FE3E-4697-BED5-1EFF1B991A1C}"/>
    <cellStyle name="Comma 2 3 2 2 2 2 2 2 3" xfId="480" xr:uid="{72C5ECB7-8A27-4766-A7E2-A4E5DBB36912}"/>
    <cellStyle name="Comma 2 3 2 2 2 2 2 2 3 2" xfId="1600" xr:uid="{454EF7A8-B11F-4D1C-913F-BE6681B8357B}"/>
    <cellStyle name="Comma 2 3 2 2 2 2 2 2 4" xfId="928" xr:uid="{F4058A24-B7AE-48E2-A6FD-B8463C4231F8}"/>
    <cellStyle name="Comma 2 3 2 2 2 2 2 2 4 2" xfId="2048" xr:uid="{24FF030D-83A7-49F7-B905-AF7FD0446E70}"/>
    <cellStyle name="Comma 2 3 2 2 2 2 2 2 5" xfId="1376" xr:uid="{40D4E05B-39DF-4F34-B454-8AC2EDC3AF1D}"/>
    <cellStyle name="Comma 2 3 2 2 2 2 2 3" xfId="592" xr:uid="{B85AE75D-DDDB-492F-AF61-99A965D29AC2}"/>
    <cellStyle name="Comma 2 3 2 2 2 2 2 3 2" xfId="1040" xr:uid="{5DF32622-01A2-4BC7-8412-1497DFAA159E}"/>
    <cellStyle name="Comma 2 3 2 2 2 2 2 3 2 2" xfId="2160" xr:uid="{9C466B58-DE6B-49D5-A8A9-CF37AC556C4E}"/>
    <cellStyle name="Comma 2 3 2 2 2 2 2 3 3" xfId="1712" xr:uid="{A9A8A26D-6CAF-4903-8EC1-B7C53BADA81D}"/>
    <cellStyle name="Comma 2 3 2 2 2 2 2 4" xfId="368" xr:uid="{594371A1-444F-42CC-A952-3B9598AB303A}"/>
    <cellStyle name="Comma 2 3 2 2 2 2 2 4 2" xfId="1488" xr:uid="{66DA4D42-4111-4C1A-8295-AA88C6B1E0AB}"/>
    <cellStyle name="Comma 2 3 2 2 2 2 2 5" xfId="816" xr:uid="{0B3A9D65-16F9-422E-9EBD-005D9DBAF5FF}"/>
    <cellStyle name="Comma 2 3 2 2 2 2 2 5 2" xfId="1936" xr:uid="{CDFD6F27-2DAA-431C-95C5-CFA8DB220E5E}"/>
    <cellStyle name="Comma 2 3 2 2 2 2 2 6" xfId="1264" xr:uid="{5847F44D-FDA2-4B56-B3D4-D2FBD60D1B61}"/>
    <cellStyle name="Comma 2 3 2 2 2 2 3" xfId="201" xr:uid="{3137B03C-10E8-4E53-BCBF-640A5E9A028E}"/>
    <cellStyle name="Comma 2 3 2 2 2 2 3 2" xfId="650" xr:uid="{B1BA6F5E-41AB-4C07-B83F-F8D05A6D3759}"/>
    <cellStyle name="Comma 2 3 2 2 2 2 3 2 2" xfId="1098" xr:uid="{7BAFA1C7-A9E2-441E-A5A0-9FD1982D04AF}"/>
    <cellStyle name="Comma 2 3 2 2 2 2 3 2 2 2" xfId="2218" xr:uid="{4B80BF49-303C-46AF-982F-71D5C19DF61D}"/>
    <cellStyle name="Comma 2 3 2 2 2 2 3 2 3" xfId="1770" xr:uid="{840497B9-A85D-4F21-B28E-3C93C5FDD01C}"/>
    <cellStyle name="Comma 2 3 2 2 2 2 3 3" xfId="426" xr:uid="{89C34EEC-45D7-4A60-8C96-2B9AD9D29E9A}"/>
    <cellStyle name="Comma 2 3 2 2 2 2 3 3 2" xfId="1546" xr:uid="{77410349-A7A4-45DE-8E50-ABD5EA7C1163}"/>
    <cellStyle name="Comma 2 3 2 2 2 2 3 4" xfId="874" xr:uid="{073197DB-D368-454A-AF8A-E5C5D163FD72}"/>
    <cellStyle name="Comma 2 3 2 2 2 2 3 4 2" xfId="1994" xr:uid="{46F1D11C-3226-4F94-B47B-E29115E726E9}"/>
    <cellStyle name="Comma 2 3 2 2 2 2 3 5" xfId="1322" xr:uid="{E78C46DB-CB65-49B9-94BD-790764FC3A3D}"/>
    <cellStyle name="Comma 2 3 2 2 2 2 4" xfId="538" xr:uid="{7E6CCC48-986E-4C19-82AF-1B1234DFF1C0}"/>
    <cellStyle name="Comma 2 3 2 2 2 2 4 2" xfId="986" xr:uid="{791F190B-A2E5-4DE5-A898-E6795755B3D4}"/>
    <cellStyle name="Comma 2 3 2 2 2 2 4 2 2" xfId="2106" xr:uid="{CE47A5A6-2D9F-4CE8-BE98-3AC6D9222D8C}"/>
    <cellStyle name="Comma 2 3 2 2 2 2 4 3" xfId="1658" xr:uid="{BEB2CC4E-3B84-4D4F-8B69-E31CF6C6EABA}"/>
    <cellStyle name="Comma 2 3 2 2 2 2 5" xfId="314" xr:uid="{8D27A4D5-046A-40BB-AB05-A86E13556F26}"/>
    <cellStyle name="Comma 2 3 2 2 2 2 5 2" xfId="1434" xr:uid="{3C8E7ADB-81AE-425C-BA47-5F8256D43AC5}"/>
    <cellStyle name="Comma 2 3 2 2 2 2 6" xfId="762" xr:uid="{E3A0EF5A-6F41-42BD-AE9F-DF46EC6E9F33}"/>
    <cellStyle name="Comma 2 3 2 2 2 2 6 2" xfId="1882" xr:uid="{1C7C6DAD-A68E-4C90-9AE4-10020E677FC0}"/>
    <cellStyle name="Comma 2 3 2 2 2 2 7" xfId="1210" xr:uid="{C8CE6D96-00AB-4619-82B8-321227B945E4}"/>
    <cellStyle name="Comma 2 3 2 2 2 3" xfId="117" xr:uid="{F123E9A5-E19E-4406-80B6-B7E2D6D37668}"/>
    <cellStyle name="Comma 2 3 2 2 2 3 2" xfId="230" xr:uid="{9339667B-8D96-4D55-AD4C-66135F552510}"/>
    <cellStyle name="Comma 2 3 2 2 2 3 2 2" xfId="679" xr:uid="{E12D1E20-8EB0-462E-9B4F-E5DC6F309FFF}"/>
    <cellStyle name="Comma 2 3 2 2 2 3 2 2 2" xfId="1127" xr:uid="{060150E3-EAB4-49D0-AA5B-A02AC63DF4F5}"/>
    <cellStyle name="Comma 2 3 2 2 2 3 2 2 2 2" xfId="2247" xr:uid="{C4622162-D5CB-4D65-85AF-F56F6470AABD}"/>
    <cellStyle name="Comma 2 3 2 2 2 3 2 2 3" xfId="1799" xr:uid="{9E35A984-74E2-4FE7-9AE6-E6B5AB2F812C}"/>
    <cellStyle name="Comma 2 3 2 2 2 3 2 3" xfId="455" xr:uid="{EE143109-3540-4DC8-92A5-B5D03D2A669B}"/>
    <cellStyle name="Comma 2 3 2 2 2 3 2 3 2" xfId="1575" xr:uid="{FBEBB27E-D4F0-498B-812C-2CBF4ACC64C3}"/>
    <cellStyle name="Comma 2 3 2 2 2 3 2 4" xfId="903" xr:uid="{EB720DB1-61AB-4830-AEDD-0B808E868653}"/>
    <cellStyle name="Comma 2 3 2 2 2 3 2 4 2" xfId="2023" xr:uid="{7B809DD3-103C-4ED9-B71C-011F5A48E805}"/>
    <cellStyle name="Comma 2 3 2 2 2 3 2 5" xfId="1351" xr:uid="{FF40E5AA-222F-4399-B66D-7633734E57AF}"/>
    <cellStyle name="Comma 2 3 2 2 2 3 3" xfId="567" xr:uid="{FC09A390-230F-494F-BA2B-1B00CB81F0B1}"/>
    <cellStyle name="Comma 2 3 2 2 2 3 3 2" xfId="1015" xr:uid="{914F360D-920A-4CD0-AF63-4893A6C6935C}"/>
    <cellStyle name="Comma 2 3 2 2 2 3 3 2 2" xfId="2135" xr:uid="{DE87D6A3-2761-4E5F-8F56-6C5924E0B17A}"/>
    <cellStyle name="Comma 2 3 2 2 2 3 3 3" xfId="1687" xr:uid="{9675547A-15D4-4E2B-A38A-1DB73708CF65}"/>
    <cellStyle name="Comma 2 3 2 2 2 3 4" xfId="343" xr:uid="{B8824966-9C9F-4781-8D8F-B9DD5B134D50}"/>
    <cellStyle name="Comma 2 3 2 2 2 3 4 2" xfId="1463" xr:uid="{CF1FF211-C188-49AC-8672-F59053411E48}"/>
    <cellStyle name="Comma 2 3 2 2 2 3 5" xfId="791" xr:uid="{87055DB1-9BE1-47EF-B851-E3EA16EFEC48}"/>
    <cellStyle name="Comma 2 3 2 2 2 3 5 2" xfId="1911" xr:uid="{5596CCE4-975B-4B0B-A66F-5D0C1AAF31FC}"/>
    <cellStyle name="Comma 2 3 2 2 2 3 6" xfId="1239" xr:uid="{1EB9FA2B-4038-4CBA-8A3C-65E6461E8807}"/>
    <cellStyle name="Comma 2 3 2 2 2 4" xfId="205" xr:uid="{40E2F1E7-46B9-4CB3-988E-B75B809D9827}"/>
    <cellStyle name="Comma 2 3 2 2 2 4 2" xfId="654" xr:uid="{1950FE2B-1B2E-40F2-B754-A67BDDFCF0A1}"/>
    <cellStyle name="Comma 2 3 2 2 2 4 2 2" xfId="1102" xr:uid="{1EA75F08-FFFB-4BC7-836C-32A08D50E47B}"/>
    <cellStyle name="Comma 2 3 2 2 2 4 2 2 2" xfId="2222" xr:uid="{05DC069B-1F1B-4EF6-AD80-368A3D4EA6B9}"/>
    <cellStyle name="Comma 2 3 2 2 2 4 2 3" xfId="1774" xr:uid="{03A03AD6-E861-4C4D-9B7C-26D359829355}"/>
    <cellStyle name="Comma 2 3 2 2 2 4 3" xfId="430" xr:uid="{447488BB-1A7E-4F90-9EDE-C253958ACADC}"/>
    <cellStyle name="Comma 2 3 2 2 2 4 3 2" xfId="1550" xr:uid="{3B515F89-F757-4596-BF91-6565CB284A62}"/>
    <cellStyle name="Comma 2 3 2 2 2 4 4" xfId="878" xr:uid="{3F914D55-D083-4090-9796-0432E9027991}"/>
    <cellStyle name="Comma 2 3 2 2 2 4 4 2" xfId="1998" xr:uid="{B38400AA-8EDD-4A59-BF76-F92D7251109E}"/>
    <cellStyle name="Comma 2 3 2 2 2 4 5" xfId="1326" xr:uid="{57016CF5-2364-455B-B60F-A7F42C749C67}"/>
    <cellStyle name="Comma 2 3 2 2 2 5" xfId="542" xr:uid="{EB8E7B02-821C-422D-8D90-DD95C24D048D}"/>
    <cellStyle name="Comma 2 3 2 2 2 5 2" xfId="990" xr:uid="{824B690F-FC33-4B34-8C5E-3A8EA07EA426}"/>
    <cellStyle name="Comma 2 3 2 2 2 5 2 2" xfId="2110" xr:uid="{C9C68CB2-E9C1-4539-B5CE-6F165F75D326}"/>
    <cellStyle name="Comma 2 3 2 2 2 5 3" xfId="1662" xr:uid="{4ACA02A1-E055-45DA-A2CC-8DA4D46CB3BE}"/>
    <cellStyle name="Comma 2 3 2 2 2 6" xfId="318" xr:uid="{5D3533A7-415C-497B-A817-F971B3E6720F}"/>
    <cellStyle name="Comma 2 3 2 2 2 6 2" xfId="1438" xr:uid="{EDDA9E26-7D48-4585-9A79-11DDC82D38AC}"/>
    <cellStyle name="Comma 2 3 2 2 2 7" xfId="766" xr:uid="{C9D461DB-D190-4D00-B62E-BCC748CA9466}"/>
    <cellStyle name="Comma 2 3 2 2 2 7 2" xfId="1886" xr:uid="{1B9F8995-9035-4FF4-9B84-F23EB1FB9309}"/>
    <cellStyle name="Comma 2 3 2 2 2 8" xfId="1214" xr:uid="{5A6EEB68-6A54-4F0D-B726-8B1A129F5DA2}"/>
    <cellStyle name="Comma 2 3 2 2 3" xfId="76" xr:uid="{19B31AF4-9A87-4FB8-9D3C-F497228F703E}"/>
    <cellStyle name="Comma 2 3 2 2 3 2" xfId="131" xr:uid="{0EB6AAEB-DA85-4F2D-A5DE-2B3F3AFC4CFA}"/>
    <cellStyle name="Comma 2 3 2 2 3 2 2" xfId="243" xr:uid="{85BB487B-B578-4EFD-B151-AA0FF656D054}"/>
    <cellStyle name="Comma 2 3 2 2 3 2 2 2" xfId="692" xr:uid="{E9F061A4-674F-4AB7-BCC3-361787DAAFF7}"/>
    <cellStyle name="Comma 2 3 2 2 3 2 2 2 2" xfId="1140" xr:uid="{49650ACA-32F1-497F-8417-8BF1D6C4E2D4}"/>
    <cellStyle name="Comma 2 3 2 2 3 2 2 2 2 2" xfId="2260" xr:uid="{D0105455-428E-465D-AEDC-65E8101E4B1D}"/>
    <cellStyle name="Comma 2 3 2 2 3 2 2 2 3" xfId="1812" xr:uid="{A79893C6-B430-4B0A-848F-ED2786EFE2BE}"/>
    <cellStyle name="Comma 2 3 2 2 3 2 2 3" xfId="468" xr:uid="{35D5EE22-794E-4942-A2B8-460716740F63}"/>
    <cellStyle name="Comma 2 3 2 2 3 2 2 3 2" xfId="1588" xr:uid="{B6782D6D-D11F-4AF2-83A4-2D23EDFD3088}"/>
    <cellStyle name="Comma 2 3 2 2 3 2 2 4" xfId="916" xr:uid="{DFD164DA-5688-47D5-9940-51B179CAD589}"/>
    <cellStyle name="Comma 2 3 2 2 3 2 2 4 2" xfId="2036" xr:uid="{F0F5A843-BA1F-46C7-9482-1A0983AAF56E}"/>
    <cellStyle name="Comma 2 3 2 2 3 2 2 5" xfId="1364" xr:uid="{2A757757-3EAB-42DA-B24B-004937B4352C}"/>
    <cellStyle name="Comma 2 3 2 2 3 2 3" xfId="580" xr:uid="{B73EB1E5-2722-4D20-B896-33BF7B4001CA}"/>
    <cellStyle name="Comma 2 3 2 2 3 2 3 2" xfId="1028" xr:uid="{590D1B46-9F97-4E34-971F-AD6B88412107}"/>
    <cellStyle name="Comma 2 3 2 2 3 2 3 2 2" xfId="2148" xr:uid="{1F1AB142-C550-426A-A6FC-CF5A25E79347}"/>
    <cellStyle name="Comma 2 3 2 2 3 2 3 3" xfId="1700" xr:uid="{682508B3-E1DF-4813-BECD-350379A8C441}"/>
    <cellStyle name="Comma 2 3 2 2 3 2 4" xfId="356" xr:uid="{2D037A7B-7DF3-4FCB-B0CA-C3BB232D1A97}"/>
    <cellStyle name="Comma 2 3 2 2 3 2 4 2" xfId="1476" xr:uid="{0E519A82-5157-453B-871E-64EDF9F20920}"/>
    <cellStyle name="Comma 2 3 2 2 3 2 5" xfId="804" xr:uid="{3ADD9B54-3D4A-4C3D-A965-C1ACFF045176}"/>
    <cellStyle name="Comma 2 3 2 2 3 2 5 2" xfId="1924" xr:uid="{88C40404-004E-44B3-89CE-7234AD72530E}"/>
    <cellStyle name="Comma 2 3 2 2 3 2 6" xfId="1252" xr:uid="{B0B9BBB3-F45D-4970-8E07-A440E7A8F49E}"/>
    <cellStyle name="Comma 2 3 2 2 3 3" xfId="189" xr:uid="{9EDCAB7A-995A-4AAD-B1FA-492FA8F9F642}"/>
    <cellStyle name="Comma 2 3 2 2 3 3 2" xfId="638" xr:uid="{6C86F5CB-4498-4D46-B5BC-EE87DF703E02}"/>
    <cellStyle name="Comma 2 3 2 2 3 3 2 2" xfId="1086" xr:uid="{D5CFB3F8-3010-4ADD-BA88-97AAD1E1A240}"/>
    <cellStyle name="Comma 2 3 2 2 3 3 2 2 2" xfId="2206" xr:uid="{978C0FE1-DE77-4E98-A292-75E3EDCA66AD}"/>
    <cellStyle name="Comma 2 3 2 2 3 3 2 3" xfId="1758" xr:uid="{5C593B09-7FE7-4BC1-950D-8419781F8204}"/>
    <cellStyle name="Comma 2 3 2 2 3 3 3" xfId="414" xr:uid="{14AD6F4D-0195-4E47-B826-583CF19FAC67}"/>
    <cellStyle name="Comma 2 3 2 2 3 3 3 2" xfId="1534" xr:uid="{FDB376DE-8873-42A3-81DA-080F42F82B2B}"/>
    <cellStyle name="Comma 2 3 2 2 3 3 4" xfId="862" xr:uid="{4647EE2D-34FA-4A3C-B4A3-0A191F86D78B}"/>
    <cellStyle name="Comma 2 3 2 2 3 3 4 2" xfId="1982" xr:uid="{DA434400-C693-47C1-9F35-CCDFDA950DF6}"/>
    <cellStyle name="Comma 2 3 2 2 3 3 5" xfId="1310" xr:uid="{74FB5204-154E-42AF-92A4-0BAFC4CC063F}"/>
    <cellStyle name="Comma 2 3 2 2 3 4" xfId="526" xr:uid="{7202D71A-1D2B-4A5F-B570-BEA567412CD0}"/>
    <cellStyle name="Comma 2 3 2 2 3 4 2" xfId="974" xr:uid="{30710087-97EE-4F88-86DE-064474F6083E}"/>
    <cellStyle name="Comma 2 3 2 2 3 4 2 2" xfId="2094" xr:uid="{C7730798-0BA5-4540-A74E-A748294297D8}"/>
    <cellStyle name="Comma 2 3 2 2 3 4 3" xfId="1646" xr:uid="{148A1578-4308-4B0F-9A10-83925B4044FA}"/>
    <cellStyle name="Comma 2 3 2 2 3 5" xfId="302" xr:uid="{7A712CBC-4705-4913-A0EA-D66506BBA07E}"/>
    <cellStyle name="Comma 2 3 2 2 3 5 2" xfId="1422" xr:uid="{C0D1C255-4C10-42ED-B973-9709E7639926}"/>
    <cellStyle name="Comma 2 3 2 2 3 6" xfId="750" xr:uid="{C02A1AC6-7282-434B-B210-49BD9874CD42}"/>
    <cellStyle name="Comma 2 3 2 2 3 6 2" xfId="1870" xr:uid="{C81B98F9-C71B-4713-AA31-30F6BF0FC31D}"/>
    <cellStyle name="Comma 2 3 2 2 3 7" xfId="1198" xr:uid="{79AE89B0-BDBA-43F3-A2FD-1DE22F80F4F6}"/>
    <cellStyle name="Comma 2 3 2 2 4" xfId="105" xr:uid="{653C6358-55BB-4C02-8ECD-10A2A3D60527}"/>
    <cellStyle name="Comma 2 3 2 2 4 2" xfId="218" xr:uid="{3D034B96-06F6-42A5-863D-C57D78766B0B}"/>
    <cellStyle name="Comma 2 3 2 2 4 2 2" xfId="667" xr:uid="{B45FA05E-84A6-4349-BFF3-716760AD364D}"/>
    <cellStyle name="Comma 2 3 2 2 4 2 2 2" xfId="1115" xr:uid="{1F766EF3-46AE-4821-AEC6-92275B8FC862}"/>
    <cellStyle name="Comma 2 3 2 2 4 2 2 2 2" xfId="2235" xr:uid="{36D56CA4-3957-4DDB-BCA5-186C97409E3C}"/>
    <cellStyle name="Comma 2 3 2 2 4 2 2 3" xfId="1787" xr:uid="{D0063CE3-485B-439C-89CA-62B60F4E647E}"/>
    <cellStyle name="Comma 2 3 2 2 4 2 3" xfId="443" xr:uid="{770C16BC-1518-4A29-A14B-17A91D194118}"/>
    <cellStyle name="Comma 2 3 2 2 4 2 3 2" xfId="1563" xr:uid="{79830BF1-FE2F-465C-9C48-9E03A48B5D2B}"/>
    <cellStyle name="Comma 2 3 2 2 4 2 4" xfId="891" xr:uid="{3431F42E-72A0-47DB-B211-38BF08654B99}"/>
    <cellStyle name="Comma 2 3 2 2 4 2 4 2" xfId="2011" xr:uid="{ECC4B176-ABB9-41D7-9489-149B575FD54C}"/>
    <cellStyle name="Comma 2 3 2 2 4 2 5" xfId="1339" xr:uid="{6ED34BAE-D328-465C-9171-539FE8766706}"/>
    <cellStyle name="Comma 2 3 2 2 4 3" xfId="555" xr:uid="{9A07EF6E-A35B-4DDE-9A62-CF2148DD36DF}"/>
    <cellStyle name="Comma 2 3 2 2 4 3 2" xfId="1003" xr:uid="{EF208277-A50A-4D13-8F83-E94F7D89D478}"/>
    <cellStyle name="Comma 2 3 2 2 4 3 2 2" xfId="2123" xr:uid="{7A8274B4-7D14-41FB-B4E8-D5323C37413C}"/>
    <cellStyle name="Comma 2 3 2 2 4 3 3" xfId="1675" xr:uid="{71979655-5671-4898-B609-2FBFFEDAB657}"/>
    <cellStyle name="Comma 2 3 2 2 4 4" xfId="331" xr:uid="{A8F695DA-6695-4E66-AD93-790B13D8933B}"/>
    <cellStyle name="Comma 2 3 2 2 4 4 2" xfId="1451" xr:uid="{CE2803E8-BE38-4010-9DD2-AA31CA368F56}"/>
    <cellStyle name="Comma 2 3 2 2 4 5" xfId="779" xr:uid="{F1E8EA24-77CE-4771-A353-C1E382D084B8}"/>
    <cellStyle name="Comma 2 3 2 2 4 5 2" xfId="1899" xr:uid="{B63D8C87-C044-4897-8124-41B567217EBB}"/>
    <cellStyle name="Comma 2 3 2 2 4 6" xfId="1227" xr:uid="{2A624CEF-682B-41F1-B9D4-1D67585A44FA}"/>
    <cellStyle name="Comma 2 3 2 2 5" xfId="166" xr:uid="{0EEF175A-6637-4F73-B8EB-E5D9C1FCEEFE}"/>
    <cellStyle name="Comma 2 3 2 2 5 2" xfId="615" xr:uid="{F11B512D-49C3-41CD-8443-241B55902E8C}"/>
    <cellStyle name="Comma 2 3 2 2 5 2 2" xfId="1063" xr:uid="{1C6862D2-CC98-4FA7-B404-09246C067D94}"/>
    <cellStyle name="Comma 2 3 2 2 5 2 2 2" xfId="2183" xr:uid="{BC14E1EC-9F6D-48C8-AD19-6E8CA02D5C9D}"/>
    <cellStyle name="Comma 2 3 2 2 5 2 3" xfId="1735" xr:uid="{97867933-DB54-4642-8658-3227859EA1CB}"/>
    <cellStyle name="Comma 2 3 2 2 5 3" xfId="391" xr:uid="{394E6897-066C-4548-9C3C-A3D716DD4365}"/>
    <cellStyle name="Comma 2 3 2 2 5 3 2" xfId="1511" xr:uid="{C4FFD372-FB98-44D6-8096-3FE58F633BFA}"/>
    <cellStyle name="Comma 2 3 2 2 5 4" xfId="839" xr:uid="{137F9476-4DBA-4C90-9F82-71F19D0A71C1}"/>
    <cellStyle name="Comma 2 3 2 2 5 4 2" xfId="1959" xr:uid="{9D2D932B-40C6-491A-9120-3E611E9D565E}"/>
    <cellStyle name="Comma 2 3 2 2 5 5" xfId="1287" xr:uid="{0B535DD5-B305-4D67-AA3F-263A0208E844}"/>
    <cellStyle name="Comma 2 3 2 2 6" xfId="503" xr:uid="{41DD2650-8AF2-4C42-8532-F7BEE7026EB8}"/>
    <cellStyle name="Comma 2 3 2 2 6 2" xfId="951" xr:uid="{576003E9-27B0-4D72-A9EB-2EA85364662E}"/>
    <cellStyle name="Comma 2 3 2 2 6 2 2" xfId="2071" xr:uid="{2079E245-3349-4DB0-A771-56FC0AD2D104}"/>
    <cellStyle name="Comma 2 3 2 2 6 3" xfId="1623" xr:uid="{0CF3535F-0F3E-419B-97D5-C1386D53CB00}"/>
    <cellStyle name="Comma 2 3 2 2 7" xfId="279" xr:uid="{3F36F53E-BC91-4602-A539-725EA9195F16}"/>
    <cellStyle name="Comma 2 3 2 2 7 2" xfId="1399" xr:uid="{567CC66C-121B-4FE5-8CF6-51E8BCC9A557}"/>
    <cellStyle name="Comma 2 3 2 2 8" xfId="727" xr:uid="{422756FB-CBB4-4C18-9A6D-506481051FA3}"/>
    <cellStyle name="Comma 2 3 2 2 8 2" xfId="1847" xr:uid="{598DADD4-62AF-415D-A3D9-3261EBF11480}"/>
    <cellStyle name="Comma 2 3 2 2 9" xfId="1175" xr:uid="{F530835B-9D93-4E50-BDFC-A1C5A4D1AC27}"/>
    <cellStyle name="Comma 2 3 2 3" xfId="59" xr:uid="{58344D38-7A7B-4E6B-9E20-F00FAE7DF96A}"/>
    <cellStyle name="Comma 2 3 2 3 2" xfId="82" xr:uid="{8C65E7D6-8392-4897-9B05-9CA10D077880}"/>
    <cellStyle name="Comma 2 3 2 3 2 2" xfId="137" xr:uid="{7CF1E43F-A37C-4219-8DF4-5C2F18EFF5CE}"/>
    <cellStyle name="Comma 2 3 2 3 2 2 2" xfId="249" xr:uid="{93D7EA7B-3662-4AAF-BE78-BA376174634C}"/>
    <cellStyle name="Comma 2 3 2 3 2 2 2 2" xfId="698" xr:uid="{D6D01E79-98B4-4128-A452-FB4B797DC38E}"/>
    <cellStyle name="Comma 2 3 2 3 2 2 2 2 2" xfId="1146" xr:uid="{CC06D4BA-3E69-477F-AB70-9C6341E2C279}"/>
    <cellStyle name="Comma 2 3 2 3 2 2 2 2 2 2" xfId="2266" xr:uid="{0E5F7B72-BCEA-4675-A680-C6A62BFE8ABA}"/>
    <cellStyle name="Comma 2 3 2 3 2 2 2 2 3" xfId="1818" xr:uid="{4AFA70F9-AAA9-4DA9-928E-52EF8111DEA4}"/>
    <cellStyle name="Comma 2 3 2 3 2 2 2 3" xfId="474" xr:uid="{41DC9A35-68B9-45B9-8DF9-4BB8932701B6}"/>
    <cellStyle name="Comma 2 3 2 3 2 2 2 3 2" xfId="1594" xr:uid="{C3BB1F61-BB13-449A-93E7-FB1F345893CB}"/>
    <cellStyle name="Comma 2 3 2 3 2 2 2 4" xfId="922" xr:uid="{A5755CF8-7638-497E-AF95-65DC543BC71C}"/>
    <cellStyle name="Comma 2 3 2 3 2 2 2 4 2" xfId="2042" xr:uid="{29E1EA72-1F49-4FFA-837F-D5CE2DF2A412}"/>
    <cellStyle name="Comma 2 3 2 3 2 2 2 5" xfId="1370" xr:uid="{8E8A3B5A-697A-4DCD-B3EE-9A55F2B8CFFD}"/>
    <cellStyle name="Comma 2 3 2 3 2 2 3" xfId="586" xr:uid="{D3450030-3A74-42E0-BC0E-DE021111A52E}"/>
    <cellStyle name="Comma 2 3 2 3 2 2 3 2" xfId="1034" xr:uid="{20F6BCCD-9199-4F5D-8C74-A8F165840837}"/>
    <cellStyle name="Comma 2 3 2 3 2 2 3 2 2" xfId="2154" xr:uid="{7685C3C2-B244-4724-BD35-FA7342EF473C}"/>
    <cellStyle name="Comma 2 3 2 3 2 2 3 3" xfId="1706" xr:uid="{AFD68EA5-7231-4551-BB77-1839F0780D11}"/>
    <cellStyle name="Comma 2 3 2 3 2 2 4" xfId="362" xr:uid="{1B2E63DE-2AE2-4692-8A63-22CB4CA0D400}"/>
    <cellStyle name="Comma 2 3 2 3 2 2 4 2" xfId="1482" xr:uid="{D59AC881-4865-4C9A-9F6F-E44C4FF778C9}"/>
    <cellStyle name="Comma 2 3 2 3 2 2 5" xfId="810" xr:uid="{3B80BA07-296C-49DE-9C3A-D760C778E6FB}"/>
    <cellStyle name="Comma 2 3 2 3 2 2 5 2" xfId="1930" xr:uid="{9FEF2C2F-2119-48E5-99C4-D34F281B3835}"/>
    <cellStyle name="Comma 2 3 2 3 2 2 6" xfId="1258" xr:uid="{5DF9B34A-9897-4D02-9FEC-B2A2C6A393EE}"/>
    <cellStyle name="Comma 2 3 2 3 2 3" xfId="195" xr:uid="{52BCBF86-DAB6-42FC-BC4E-7575094BFDF4}"/>
    <cellStyle name="Comma 2 3 2 3 2 3 2" xfId="644" xr:uid="{CED96AE0-34F1-4439-8DED-7EDAF4926FD5}"/>
    <cellStyle name="Comma 2 3 2 3 2 3 2 2" xfId="1092" xr:uid="{B18F14A3-5D38-4D30-B8DE-B2FBB5737652}"/>
    <cellStyle name="Comma 2 3 2 3 2 3 2 2 2" xfId="2212" xr:uid="{4D91AF47-B40F-4BC5-B467-B0104CA867BB}"/>
    <cellStyle name="Comma 2 3 2 3 2 3 2 3" xfId="1764" xr:uid="{3967C478-EDB5-42F1-B25C-7EAC4AC38C4E}"/>
    <cellStyle name="Comma 2 3 2 3 2 3 3" xfId="420" xr:uid="{8DC82496-FA0F-4F9C-B1A1-4B198AF8C0B5}"/>
    <cellStyle name="Comma 2 3 2 3 2 3 3 2" xfId="1540" xr:uid="{EE88C3B5-797A-478F-85DB-C618E0818292}"/>
    <cellStyle name="Comma 2 3 2 3 2 3 4" xfId="868" xr:uid="{76FF7FB9-1CD0-4355-BACA-1CF384E2E7E9}"/>
    <cellStyle name="Comma 2 3 2 3 2 3 4 2" xfId="1988" xr:uid="{B95D5F64-3082-45C0-BDDD-889DBD2FD4F0}"/>
    <cellStyle name="Comma 2 3 2 3 2 3 5" xfId="1316" xr:uid="{7E1B59A0-84EC-4F0B-BDA5-42CA7B631A10}"/>
    <cellStyle name="Comma 2 3 2 3 2 4" xfId="532" xr:uid="{4022BCF7-F41E-46AE-89F6-85B84BEA6A44}"/>
    <cellStyle name="Comma 2 3 2 3 2 4 2" xfId="980" xr:uid="{82A4372E-153B-4171-B732-18782C710F30}"/>
    <cellStyle name="Comma 2 3 2 3 2 4 2 2" xfId="2100" xr:uid="{A9453253-D64A-4DFB-9765-71CEC4287BBC}"/>
    <cellStyle name="Comma 2 3 2 3 2 4 3" xfId="1652" xr:uid="{465C6417-081B-4C2C-B7B8-02560CF0F122}"/>
    <cellStyle name="Comma 2 3 2 3 2 5" xfId="308" xr:uid="{930590A6-0F41-4941-8304-9A43E763F8CA}"/>
    <cellStyle name="Comma 2 3 2 3 2 5 2" xfId="1428" xr:uid="{7218EFF2-7D27-4CE8-8C4C-4BECB69FFF2D}"/>
    <cellStyle name="Comma 2 3 2 3 2 6" xfId="756" xr:uid="{3E843368-1C8C-4308-85BD-D89432364103}"/>
    <cellStyle name="Comma 2 3 2 3 2 6 2" xfId="1876" xr:uid="{092BB66C-EF2D-4CBB-B24D-8F3A17E69F5C}"/>
    <cellStyle name="Comma 2 3 2 3 2 7" xfId="1204" xr:uid="{BC8A7CC9-9919-412F-B08B-39C7B8E5806F}"/>
    <cellStyle name="Comma 2 3 2 3 3" xfId="111" xr:uid="{87CF03D6-0C26-46AE-A38A-F0DB9B3EF31D}"/>
    <cellStyle name="Comma 2 3 2 3 3 2" xfId="224" xr:uid="{B2960113-33F2-4A31-9F66-4380061E4985}"/>
    <cellStyle name="Comma 2 3 2 3 3 2 2" xfId="673" xr:uid="{04319DCA-AF02-46FD-B37B-BC0D703DDB33}"/>
    <cellStyle name="Comma 2 3 2 3 3 2 2 2" xfId="1121" xr:uid="{EF66EC3D-03FA-40F2-BA1D-C9550DF38701}"/>
    <cellStyle name="Comma 2 3 2 3 3 2 2 2 2" xfId="2241" xr:uid="{19B1D5F5-518E-4E3A-8366-D0455310BB61}"/>
    <cellStyle name="Comma 2 3 2 3 3 2 2 3" xfId="1793" xr:uid="{D67652C5-6C02-4B05-A9C2-9B02EC18E373}"/>
    <cellStyle name="Comma 2 3 2 3 3 2 3" xfId="449" xr:uid="{EAFD19C4-AA3E-4C96-A247-1C5E15EDE73C}"/>
    <cellStyle name="Comma 2 3 2 3 3 2 3 2" xfId="1569" xr:uid="{ED27903A-2953-40EC-964F-C82AC12594D8}"/>
    <cellStyle name="Comma 2 3 2 3 3 2 4" xfId="897" xr:uid="{AF0D6EF5-5247-4A46-AB65-DA62CC257926}"/>
    <cellStyle name="Comma 2 3 2 3 3 2 4 2" xfId="2017" xr:uid="{64FE9F58-9BCA-404B-90CF-1BB78695D580}"/>
    <cellStyle name="Comma 2 3 2 3 3 2 5" xfId="1345" xr:uid="{77E4183B-C9B7-4ACC-AE1F-C21365959489}"/>
    <cellStyle name="Comma 2 3 2 3 3 3" xfId="561" xr:uid="{896B4BFF-D4EB-42E9-8DF4-C890FBBF850B}"/>
    <cellStyle name="Comma 2 3 2 3 3 3 2" xfId="1009" xr:uid="{CFCE1180-816F-406D-BEAB-413B0B63E90D}"/>
    <cellStyle name="Comma 2 3 2 3 3 3 2 2" xfId="2129" xr:uid="{11876934-0732-4C42-A5E6-B1BD7041C705}"/>
    <cellStyle name="Comma 2 3 2 3 3 3 3" xfId="1681" xr:uid="{0C515306-8F92-40A2-867B-63AD4B446A37}"/>
    <cellStyle name="Comma 2 3 2 3 3 4" xfId="337" xr:uid="{533F0EBE-69B2-4020-AB18-7B335C9CFD26}"/>
    <cellStyle name="Comma 2 3 2 3 3 4 2" xfId="1457" xr:uid="{D8B38D03-C75F-4F06-9C0F-8E524877C0D6}"/>
    <cellStyle name="Comma 2 3 2 3 3 5" xfId="785" xr:uid="{51C2F582-713E-4115-9814-0F08B6894F85}"/>
    <cellStyle name="Comma 2 3 2 3 3 5 2" xfId="1905" xr:uid="{B00782B9-3777-4FFD-A8BF-82BC6EE1B1CA}"/>
    <cellStyle name="Comma 2 3 2 3 3 6" xfId="1233" xr:uid="{8F0D2B8F-8215-4DB1-A38A-F5873E4361B1}"/>
    <cellStyle name="Comma 2 3 2 3 4" xfId="172" xr:uid="{D76C1A2C-7EFF-4F3D-B0B4-5DCD1A9441DC}"/>
    <cellStyle name="Comma 2 3 2 3 4 2" xfId="621" xr:uid="{DD73CE37-B8F0-427F-B6D9-1ABF38659ACF}"/>
    <cellStyle name="Comma 2 3 2 3 4 2 2" xfId="1069" xr:uid="{DFE61082-7FC3-4080-B011-177459061E61}"/>
    <cellStyle name="Comma 2 3 2 3 4 2 2 2" xfId="2189" xr:uid="{01E49B62-AC66-486C-8F4B-EFB8AEFA8E02}"/>
    <cellStyle name="Comma 2 3 2 3 4 2 3" xfId="1741" xr:uid="{076C457F-6329-4D8E-B8AD-0BCD266CDE3F}"/>
    <cellStyle name="Comma 2 3 2 3 4 3" xfId="397" xr:uid="{71310717-1C00-4C11-87C7-003ABDFEDF8C}"/>
    <cellStyle name="Comma 2 3 2 3 4 3 2" xfId="1517" xr:uid="{24530977-BE56-45D3-A216-C776A605D721}"/>
    <cellStyle name="Comma 2 3 2 3 4 4" xfId="845" xr:uid="{0439CA3F-BC94-41D9-83CB-17340E327638}"/>
    <cellStyle name="Comma 2 3 2 3 4 4 2" xfId="1965" xr:uid="{517A6C00-3D3B-4C1B-B7BD-620B8BAA631A}"/>
    <cellStyle name="Comma 2 3 2 3 4 5" xfId="1293" xr:uid="{B1DF39DB-25B7-45E1-B005-C47670F2975C}"/>
    <cellStyle name="Comma 2 3 2 3 5" xfId="509" xr:uid="{D729228F-3F6F-457B-BAC5-B33BC65BA364}"/>
    <cellStyle name="Comma 2 3 2 3 5 2" xfId="957" xr:uid="{6CF4534A-9FBA-46FF-AE61-ED8291D72C9B}"/>
    <cellStyle name="Comma 2 3 2 3 5 2 2" xfId="2077" xr:uid="{B6D0464B-7F84-47F3-BCAF-9D7B231ABAE0}"/>
    <cellStyle name="Comma 2 3 2 3 5 3" xfId="1629" xr:uid="{B6A6D9A0-1DA9-48DF-8855-4F69B27C7BC6}"/>
    <cellStyle name="Comma 2 3 2 3 6" xfId="285" xr:uid="{A812522D-2589-484F-8C9C-EEC5A532BE99}"/>
    <cellStyle name="Comma 2 3 2 3 6 2" xfId="1405" xr:uid="{ED2BBDDC-65AB-4AA5-9CDA-0ABEE1E4B9CF}"/>
    <cellStyle name="Comma 2 3 2 3 7" xfId="733" xr:uid="{065154A5-9E1A-4B67-85B0-6F27D3D47868}"/>
    <cellStyle name="Comma 2 3 2 3 7 2" xfId="1853" xr:uid="{11AA6048-5688-42F1-9BA4-BF7CFE15C882}"/>
    <cellStyle name="Comma 2 3 2 3 8" xfId="1181" xr:uid="{21683058-E316-4A81-AD13-BF1DFFE5569C}"/>
    <cellStyle name="Comma 2 3 2 4" xfId="70" xr:uid="{484EC476-71DA-430A-A145-4309B50BB565}"/>
    <cellStyle name="Comma 2 3 2 4 2" xfId="125" xr:uid="{E745082B-9F47-4BB9-9B00-472C99465A95}"/>
    <cellStyle name="Comma 2 3 2 4 2 2" xfId="237" xr:uid="{F5780E64-1F79-4219-A2DF-7D98354EB4E4}"/>
    <cellStyle name="Comma 2 3 2 4 2 2 2" xfId="686" xr:uid="{548332C0-FB32-4A25-921A-FA8CD307AC96}"/>
    <cellStyle name="Comma 2 3 2 4 2 2 2 2" xfId="1134" xr:uid="{AC036AD9-F06F-4602-98CF-AB87C7D12628}"/>
    <cellStyle name="Comma 2 3 2 4 2 2 2 2 2" xfId="2254" xr:uid="{CBBB6FE8-9CBB-4C93-AEB3-DBBBB2EF4E72}"/>
    <cellStyle name="Comma 2 3 2 4 2 2 2 3" xfId="1806" xr:uid="{5FC52F13-8531-4ED0-A7EE-D99D23FECD67}"/>
    <cellStyle name="Comma 2 3 2 4 2 2 3" xfId="462" xr:uid="{E8962C03-A652-4E49-87BD-F2D9675D75E5}"/>
    <cellStyle name="Comma 2 3 2 4 2 2 3 2" xfId="1582" xr:uid="{9E87074E-BD85-4E07-9154-AD2BC9B0C673}"/>
    <cellStyle name="Comma 2 3 2 4 2 2 4" xfId="910" xr:uid="{A0F1CB8B-5DF3-4085-B97C-0FF0A18D50A6}"/>
    <cellStyle name="Comma 2 3 2 4 2 2 4 2" xfId="2030" xr:uid="{E832AF1F-54C3-47C5-83BF-E7A24B2EA891}"/>
    <cellStyle name="Comma 2 3 2 4 2 2 5" xfId="1358" xr:uid="{BE50C8BC-C59F-41F3-91D4-8FB8B327EC4B}"/>
    <cellStyle name="Comma 2 3 2 4 2 3" xfId="574" xr:uid="{8D8C2D1B-F7C2-43B0-9A6C-84A5B12416DD}"/>
    <cellStyle name="Comma 2 3 2 4 2 3 2" xfId="1022" xr:uid="{1252BD3D-A51F-42C3-B593-171AA91EAFF3}"/>
    <cellStyle name="Comma 2 3 2 4 2 3 2 2" xfId="2142" xr:uid="{003897CC-7B74-49C1-AB2C-92C8AA15802E}"/>
    <cellStyle name="Comma 2 3 2 4 2 3 3" xfId="1694" xr:uid="{9F1E8ED5-85D2-48F5-84FD-9C64634BCC03}"/>
    <cellStyle name="Comma 2 3 2 4 2 4" xfId="350" xr:uid="{E3CBDBC6-8628-4EDD-B6E5-8C9B13F046D9}"/>
    <cellStyle name="Comma 2 3 2 4 2 4 2" xfId="1470" xr:uid="{579518D1-2CC0-4A19-AFAC-4F046FBD3A04}"/>
    <cellStyle name="Comma 2 3 2 4 2 5" xfId="798" xr:uid="{1F83B8EE-9C27-45E3-AE42-60B5C20BAE9E}"/>
    <cellStyle name="Comma 2 3 2 4 2 5 2" xfId="1918" xr:uid="{9ABC3B5D-C2A5-4D50-8AC5-0648F823D9C2}"/>
    <cellStyle name="Comma 2 3 2 4 2 6" xfId="1246" xr:uid="{916BC305-D8A5-4AB9-A96C-4F74636DAC2B}"/>
    <cellStyle name="Comma 2 3 2 4 3" xfId="183" xr:uid="{5FA6D98C-3F67-423D-9537-5FBC0A07DC0C}"/>
    <cellStyle name="Comma 2 3 2 4 3 2" xfId="632" xr:uid="{D95A43EA-6ED0-4CE3-8F4B-F20AF3AF7307}"/>
    <cellStyle name="Comma 2 3 2 4 3 2 2" xfId="1080" xr:uid="{88B560CC-48CC-4893-9658-EFF2273A410C}"/>
    <cellStyle name="Comma 2 3 2 4 3 2 2 2" xfId="2200" xr:uid="{A7CC53A3-DE23-4C23-80A3-87DEF7E25046}"/>
    <cellStyle name="Comma 2 3 2 4 3 2 3" xfId="1752" xr:uid="{A3ACB668-F80D-48A8-B24B-ACBEE7B038A5}"/>
    <cellStyle name="Comma 2 3 2 4 3 3" xfId="408" xr:uid="{3490BC52-C88D-4395-89DD-3B12ECF9E569}"/>
    <cellStyle name="Comma 2 3 2 4 3 3 2" xfId="1528" xr:uid="{FBDAC377-C2FC-4CF8-B1C8-9AC9D8FF4DF7}"/>
    <cellStyle name="Comma 2 3 2 4 3 4" xfId="856" xr:uid="{44E15B76-51A0-4881-8DEA-36EB0A9E0752}"/>
    <cellStyle name="Comma 2 3 2 4 3 4 2" xfId="1976" xr:uid="{98960ED5-39CA-48CA-8495-E6B143F5EBFB}"/>
    <cellStyle name="Comma 2 3 2 4 3 5" xfId="1304" xr:uid="{DC5D8B4B-A02A-4A58-B710-D9DFFBF50A8C}"/>
    <cellStyle name="Comma 2 3 2 4 4" xfId="520" xr:uid="{7EC9D91B-E84C-44F2-B2E2-0D4C3595C5AD}"/>
    <cellStyle name="Comma 2 3 2 4 4 2" xfId="968" xr:uid="{7023B1BD-2E6E-4346-B6E9-647608439F87}"/>
    <cellStyle name="Comma 2 3 2 4 4 2 2" xfId="2088" xr:uid="{86E6F384-D8FB-4981-85C2-A0338D91A687}"/>
    <cellStyle name="Comma 2 3 2 4 4 3" xfId="1640" xr:uid="{C39AC746-1A9A-47FA-AAF7-B5D622385177}"/>
    <cellStyle name="Comma 2 3 2 4 5" xfId="296" xr:uid="{2AA19A0C-F431-4B7C-BDD3-CBF9B596BA17}"/>
    <cellStyle name="Comma 2 3 2 4 5 2" xfId="1416" xr:uid="{3D58748C-0627-42A9-9156-0B5756CC8486}"/>
    <cellStyle name="Comma 2 3 2 4 6" xfId="744" xr:uid="{CF2DD152-CDB4-42FF-84B6-FA19A32303BD}"/>
    <cellStyle name="Comma 2 3 2 4 6 2" xfId="1864" xr:uid="{B68B64BA-61E4-40EB-8A5F-D36B0F7E1F5F}"/>
    <cellStyle name="Comma 2 3 2 4 7" xfId="1192" xr:uid="{6897430A-60EE-493C-959A-C5E9DEA73144}"/>
    <cellStyle name="Comma 2 3 2 5" xfId="99" xr:uid="{C9F3CFE7-FB2E-4071-B9A2-F6CD752CBEBF}"/>
    <cellStyle name="Comma 2 3 2 5 2" xfId="212" xr:uid="{E26DA37A-252E-43E0-97CE-0512891F601D}"/>
    <cellStyle name="Comma 2 3 2 5 2 2" xfId="661" xr:uid="{06A48634-27F5-4CF9-BA5C-02D86A2C119B}"/>
    <cellStyle name="Comma 2 3 2 5 2 2 2" xfId="1109" xr:uid="{C4125B0E-BDFD-4753-952A-1F4B207B29BC}"/>
    <cellStyle name="Comma 2 3 2 5 2 2 2 2" xfId="2229" xr:uid="{224E71F0-C59D-463E-9546-1EDE14CFE41D}"/>
    <cellStyle name="Comma 2 3 2 5 2 2 3" xfId="1781" xr:uid="{384683C7-358D-459A-A72A-E8D33AAB0AB5}"/>
    <cellStyle name="Comma 2 3 2 5 2 3" xfId="437" xr:uid="{7BDBD820-09FE-4064-BBF7-8DF8E27AD895}"/>
    <cellStyle name="Comma 2 3 2 5 2 3 2" xfId="1557" xr:uid="{10E45E52-AFB3-4A9A-896E-07C0F172693E}"/>
    <cellStyle name="Comma 2 3 2 5 2 4" xfId="885" xr:uid="{87A7761B-B63E-4507-997D-0120CC9164A8}"/>
    <cellStyle name="Comma 2 3 2 5 2 4 2" xfId="2005" xr:uid="{B1B91764-FCF2-4F81-A04C-E446E657CE11}"/>
    <cellStyle name="Comma 2 3 2 5 2 5" xfId="1333" xr:uid="{4B44DD6C-DEAE-42EC-9F84-C7CCA0A1FFEF}"/>
    <cellStyle name="Comma 2 3 2 5 3" xfId="549" xr:uid="{75551BF2-E0F4-4DD7-84F6-28CA14F43E5E}"/>
    <cellStyle name="Comma 2 3 2 5 3 2" xfId="997" xr:uid="{33416BE4-303E-4DCF-9EA3-781BBD664015}"/>
    <cellStyle name="Comma 2 3 2 5 3 2 2" xfId="2117" xr:uid="{EECEFB45-23BA-42AF-8F74-6AC64D17C7BF}"/>
    <cellStyle name="Comma 2 3 2 5 3 3" xfId="1669" xr:uid="{545285BC-5441-4E9B-9722-A591904C80F7}"/>
    <cellStyle name="Comma 2 3 2 5 4" xfId="325" xr:uid="{45DE7BD4-5BB1-4CE6-8B25-53B60EA55C1D}"/>
    <cellStyle name="Comma 2 3 2 5 4 2" xfId="1445" xr:uid="{ACF37F34-FDC5-4E13-A3F6-870418B4E5C2}"/>
    <cellStyle name="Comma 2 3 2 5 5" xfId="773" xr:uid="{CABD2E9A-DB98-4B66-9477-106FAA62D6E5}"/>
    <cellStyle name="Comma 2 3 2 5 5 2" xfId="1893" xr:uid="{B3F13493-EFC1-4475-B7FE-7B89F03CC62B}"/>
    <cellStyle name="Comma 2 3 2 5 6" xfId="1221" xr:uid="{9540473B-5831-41AE-88EE-F5B749FE9058}"/>
    <cellStyle name="Comma 2 3 2 6" xfId="160" xr:uid="{FF9F4C2B-DA1C-47F2-B63E-39EBD80A842F}"/>
    <cellStyle name="Comma 2 3 2 6 2" xfId="609" xr:uid="{A3491127-5A9D-4087-8E4A-6912AB207D03}"/>
    <cellStyle name="Comma 2 3 2 6 2 2" xfId="1057" xr:uid="{21EA2484-E320-479D-B637-880E826798CA}"/>
    <cellStyle name="Comma 2 3 2 6 2 2 2" xfId="2177" xr:uid="{FE4E3DC2-3556-42F0-8D70-B299517FA754}"/>
    <cellStyle name="Comma 2 3 2 6 2 3" xfId="1729" xr:uid="{20933D38-849A-4AA2-ADE6-D5F84FD6ECBB}"/>
    <cellStyle name="Comma 2 3 2 6 3" xfId="385" xr:uid="{DEF4FB5D-082F-429E-9375-5C4063E1F8EB}"/>
    <cellStyle name="Comma 2 3 2 6 3 2" xfId="1505" xr:uid="{1FB38732-09A2-4005-B44B-436A705237A6}"/>
    <cellStyle name="Comma 2 3 2 6 4" xfId="833" xr:uid="{BF3A4104-961E-4DBB-BA7D-5B3FC3DA7762}"/>
    <cellStyle name="Comma 2 3 2 6 4 2" xfId="1953" xr:uid="{3EC7D6F1-29EF-4E5E-82BB-39F915518368}"/>
    <cellStyle name="Comma 2 3 2 6 5" xfId="1281" xr:uid="{C1E95FC3-6F76-4844-9D69-5B38CE044741}"/>
    <cellStyle name="Comma 2 3 2 7" xfId="497" xr:uid="{4DE3F17A-490F-4B19-AB2D-B73DBEA0365F}"/>
    <cellStyle name="Comma 2 3 2 7 2" xfId="945" xr:uid="{336CCA96-E34E-49A1-8430-0A78A068E785}"/>
    <cellStyle name="Comma 2 3 2 7 2 2" xfId="2065" xr:uid="{14038D83-264D-49F8-A91A-AF5A6926F042}"/>
    <cellStyle name="Comma 2 3 2 7 3" xfId="1617" xr:uid="{395A5C5A-7962-42CD-AC4F-B0D9030CF14B}"/>
    <cellStyle name="Comma 2 3 2 8" xfId="273" xr:uid="{DFC42333-634C-4E23-985E-3FDFCC92F098}"/>
    <cellStyle name="Comma 2 3 2 8 2" xfId="1393" xr:uid="{B7F517F6-076E-4349-B171-A2B35CC4C9D3}"/>
    <cellStyle name="Comma 2 3 2 9" xfId="721" xr:uid="{3408F5DC-7829-40CB-B2A6-3A36379B2A1D}"/>
    <cellStyle name="Comma 2 3 2 9 2" xfId="1841" xr:uid="{6EE2DBE3-0E49-47B9-8660-691FACA501F9}"/>
    <cellStyle name="Comma 2 3 3" xfId="49" xr:uid="{C690D60A-FA84-463B-84BC-DD39568FECE3}"/>
    <cellStyle name="Comma 2 3 3 2" xfId="61" xr:uid="{6830EA69-8B63-41FB-BF27-87BE52C5D846}"/>
    <cellStyle name="Comma 2 3 3 2 2" xfId="84" xr:uid="{9D05577D-1755-4D0F-ADDF-02CB3BF7A45C}"/>
    <cellStyle name="Comma 2 3 3 2 2 2" xfId="139" xr:uid="{F506290B-E81C-43F8-828F-E57D2067EA07}"/>
    <cellStyle name="Comma 2 3 3 2 2 2 2" xfId="251" xr:uid="{4A2F3D5A-30F2-433D-92A3-3A9F2082725A}"/>
    <cellStyle name="Comma 2 3 3 2 2 2 2 2" xfId="700" xr:uid="{841639B1-BBB6-47A6-8A01-AB2C0438DFBA}"/>
    <cellStyle name="Comma 2 3 3 2 2 2 2 2 2" xfId="1148" xr:uid="{AFB76C50-F096-4BBE-9381-B09CDC44A7F6}"/>
    <cellStyle name="Comma 2 3 3 2 2 2 2 2 2 2" xfId="2268" xr:uid="{450AB0BD-A36A-4A8D-B877-96F75BF4FE1F}"/>
    <cellStyle name="Comma 2 3 3 2 2 2 2 2 3" xfId="1820" xr:uid="{5EAD8255-2451-4F3B-B38B-38ED4BEE936B}"/>
    <cellStyle name="Comma 2 3 3 2 2 2 2 3" xfId="476" xr:uid="{66D42348-6CE5-4028-ADB7-CE592B31FD39}"/>
    <cellStyle name="Comma 2 3 3 2 2 2 2 3 2" xfId="1596" xr:uid="{B34F5E45-C689-4348-BFE9-423520A0464E}"/>
    <cellStyle name="Comma 2 3 3 2 2 2 2 4" xfId="924" xr:uid="{7752D0AC-D1AA-4D0B-A8FA-FAAA523BE4D2}"/>
    <cellStyle name="Comma 2 3 3 2 2 2 2 4 2" xfId="2044" xr:uid="{197ACA76-D4A4-484E-B77B-5360C5BCD8B4}"/>
    <cellStyle name="Comma 2 3 3 2 2 2 2 5" xfId="1372" xr:uid="{2073DA6B-6A05-48C6-BC13-D07495C20FB6}"/>
    <cellStyle name="Comma 2 3 3 2 2 2 3" xfId="588" xr:uid="{809C3485-7403-4688-9914-23D83E927B8E}"/>
    <cellStyle name="Comma 2 3 3 2 2 2 3 2" xfId="1036" xr:uid="{C896B3DF-BF0F-4FC6-AE0B-227AD2090548}"/>
    <cellStyle name="Comma 2 3 3 2 2 2 3 2 2" xfId="2156" xr:uid="{DD9EE84F-DDFD-4D02-ABDD-553F6204DE0C}"/>
    <cellStyle name="Comma 2 3 3 2 2 2 3 3" xfId="1708" xr:uid="{95A3545C-479D-40E6-887F-8C7AE459C7BE}"/>
    <cellStyle name="Comma 2 3 3 2 2 2 4" xfId="364" xr:uid="{A4066ED2-5304-4B08-9174-F9EE19A0C41F}"/>
    <cellStyle name="Comma 2 3 3 2 2 2 4 2" xfId="1484" xr:uid="{2BB55ABA-A6D0-40E9-AFBE-1BFB41C9BFFC}"/>
    <cellStyle name="Comma 2 3 3 2 2 2 5" xfId="812" xr:uid="{7FF474F4-D3D6-406F-A5E3-6B165809DADF}"/>
    <cellStyle name="Comma 2 3 3 2 2 2 5 2" xfId="1932" xr:uid="{50E1A224-0AF6-49B1-826A-FCF2FC5928E1}"/>
    <cellStyle name="Comma 2 3 3 2 2 2 6" xfId="1260" xr:uid="{C3C4EB4F-22F4-4488-B10A-1F2E780D0734}"/>
    <cellStyle name="Comma 2 3 3 2 2 3" xfId="197" xr:uid="{587E8F37-52C5-4A0F-9B29-C831D02FD6CF}"/>
    <cellStyle name="Comma 2 3 3 2 2 3 2" xfId="646" xr:uid="{EE256BF1-3406-4DC6-A87A-36F72847330F}"/>
    <cellStyle name="Comma 2 3 3 2 2 3 2 2" xfId="1094" xr:uid="{94136A8A-75BC-4D4B-B985-97AC8BDF0CB1}"/>
    <cellStyle name="Comma 2 3 3 2 2 3 2 2 2" xfId="2214" xr:uid="{CEC6AB62-61EF-4E29-B643-1D1F17E44FAC}"/>
    <cellStyle name="Comma 2 3 3 2 2 3 2 3" xfId="1766" xr:uid="{441897FA-C032-4A5B-8AD2-8F0209310FAE}"/>
    <cellStyle name="Comma 2 3 3 2 2 3 3" xfId="422" xr:uid="{884FF5D4-2692-4BD7-B58C-CDA5AB4AF550}"/>
    <cellStyle name="Comma 2 3 3 2 2 3 3 2" xfId="1542" xr:uid="{6B797772-72F3-48A9-974C-4089EC40A05C}"/>
    <cellStyle name="Comma 2 3 3 2 2 3 4" xfId="870" xr:uid="{1A92651E-8383-4AC6-B0A8-C98823CA1FF3}"/>
    <cellStyle name="Comma 2 3 3 2 2 3 4 2" xfId="1990" xr:uid="{F59B8CF4-8A88-4118-83CE-CCF32ABAF4A3}"/>
    <cellStyle name="Comma 2 3 3 2 2 3 5" xfId="1318" xr:uid="{D16CD2D8-7173-4859-BF9C-8AC4A4370CF1}"/>
    <cellStyle name="Comma 2 3 3 2 2 4" xfId="534" xr:uid="{6248C70E-055B-4672-A725-C482C2D081DC}"/>
    <cellStyle name="Comma 2 3 3 2 2 4 2" xfId="982" xr:uid="{C2855AAA-F6E7-4417-9A8C-757252DF2A8B}"/>
    <cellStyle name="Comma 2 3 3 2 2 4 2 2" xfId="2102" xr:uid="{8996C113-1299-4584-8482-E13D31C6526D}"/>
    <cellStyle name="Comma 2 3 3 2 2 4 3" xfId="1654" xr:uid="{4AF8FC6F-8AB7-4676-979A-071B2916A85C}"/>
    <cellStyle name="Comma 2 3 3 2 2 5" xfId="310" xr:uid="{F9CF67E3-F4D2-4D98-9E54-5B7428E91535}"/>
    <cellStyle name="Comma 2 3 3 2 2 5 2" xfId="1430" xr:uid="{FEB93D8D-B835-4774-87F8-2E26DD64D3AF}"/>
    <cellStyle name="Comma 2 3 3 2 2 6" xfId="758" xr:uid="{4640318B-511D-4651-AFD1-560CD8D85EA9}"/>
    <cellStyle name="Comma 2 3 3 2 2 6 2" xfId="1878" xr:uid="{D3EE9780-DF67-4685-AD86-EB3FB2B2EFAA}"/>
    <cellStyle name="Comma 2 3 3 2 2 7" xfId="1206" xr:uid="{2C248A55-125A-4D77-950C-D712A6013370}"/>
    <cellStyle name="Comma 2 3 3 2 3" xfId="113" xr:uid="{CDD57C55-C276-4CFB-BA14-5E9AA3D8AA35}"/>
    <cellStyle name="Comma 2 3 3 2 3 2" xfId="226" xr:uid="{E38605A3-5BE9-4FE1-AB35-07C69707E255}"/>
    <cellStyle name="Comma 2 3 3 2 3 2 2" xfId="675" xr:uid="{51B44835-7232-4EF4-AF22-BF17C6689330}"/>
    <cellStyle name="Comma 2 3 3 2 3 2 2 2" xfId="1123" xr:uid="{7A62552E-6888-4BA2-A601-E1D712CF8FE1}"/>
    <cellStyle name="Comma 2 3 3 2 3 2 2 2 2" xfId="2243" xr:uid="{D9493496-A3EC-40FE-B6A3-AD647E7F10F4}"/>
    <cellStyle name="Comma 2 3 3 2 3 2 2 3" xfId="1795" xr:uid="{15C9FDC8-7E0F-4C37-ACB2-4E37EF8038A6}"/>
    <cellStyle name="Comma 2 3 3 2 3 2 3" xfId="451" xr:uid="{0B26B483-1819-4686-BF2A-2EE40CB04A65}"/>
    <cellStyle name="Comma 2 3 3 2 3 2 3 2" xfId="1571" xr:uid="{F3A5098F-DDA6-4930-B722-A4F287F2B101}"/>
    <cellStyle name="Comma 2 3 3 2 3 2 4" xfId="899" xr:uid="{7298CAF6-D628-4D5D-B139-B93827E92FAF}"/>
    <cellStyle name="Comma 2 3 3 2 3 2 4 2" xfId="2019" xr:uid="{B43BED56-D916-42B0-A2E2-0413577978C7}"/>
    <cellStyle name="Comma 2 3 3 2 3 2 5" xfId="1347" xr:uid="{D056CB27-02F1-411C-9D1C-74A991455B59}"/>
    <cellStyle name="Comma 2 3 3 2 3 3" xfId="563" xr:uid="{099C4989-2D42-42AA-A6F5-954E30A9751F}"/>
    <cellStyle name="Comma 2 3 3 2 3 3 2" xfId="1011" xr:uid="{03E7C50B-D373-4110-A84A-68B5BAA06638}"/>
    <cellStyle name="Comma 2 3 3 2 3 3 2 2" xfId="2131" xr:uid="{E6327858-235E-4880-9420-28EDDC567DA0}"/>
    <cellStyle name="Comma 2 3 3 2 3 3 3" xfId="1683" xr:uid="{A559C812-7E15-4176-B529-26A68F8E1AA5}"/>
    <cellStyle name="Comma 2 3 3 2 3 4" xfId="339" xr:uid="{F6A88941-5835-4837-927A-673C0E795A3E}"/>
    <cellStyle name="Comma 2 3 3 2 3 4 2" xfId="1459" xr:uid="{951A4F5B-5E9E-4A3C-8F12-0975FEAF92C3}"/>
    <cellStyle name="Comma 2 3 3 2 3 5" xfId="787" xr:uid="{7848B7EF-B27A-4D36-BDF9-EF1D4AB4377A}"/>
    <cellStyle name="Comma 2 3 3 2 3 5 2" xfId="1907" xr:uid="{AC144D0A-D568-45ED-B27F-476C89E65E35}"/>
    <cellStyle name="Comma 2 3 3 2 3 6" xfId="1235" xr:uid="{86FC2F10-BBE1-4196-B109-FAADD1CB705E}"/>
    <cellStyle name="Comma 2 3 3 2 4" xfId="174" xr:uid="{823485FB-CF65-458F-BCE1-3FCF39AB519D}"/>
    <cellStyle name="Comma 2 3 3 2 4 2" xfId="623" xr:uid="{6351A403-6E71-47E6-B3DD-EA81A0B858F4}"/>
    <cellStyle name="Comma 2 3 3 2 4 2 2" xfId="1071" xr:uid="{1A97F184-CB1D-4F39-9951-7A297C70F982}"/>
    <cellStyle name="Comma 2 3 3 2 4 2 2 2" xfId="2191" xr:uid="{CFEA5F04-233D-494B-9E43-28BEED105036}"/>
    <cellStyle name="Comma 2 3 3 2 4 2 3" xfId="1743" xr:uid="{22FDFBA1-1A8E-42F3-A32D-6EBE2A285A4D}"/>
    <cellStyle name="Comma 2 3 3 2 4 3" xfId="399" xr:uid="{1F97C50B-CAC2-4496-BD0F-4A063AD2ABE6}"/>
    <cellStyle name="Comma 2 3 3 2 4 3 2" xfId="1519" xr:uid="{B081B378-43CA-4039-97F5-E91EE6252BDE}"/>
    <cellStyle name="Comma 2 3 3 2 4 4" xfId="847" xr:uid="{5CDAC9EB-40BA-4FE5-A2CE-304471255588}"/>
    <cellStyle name="Comma 2 3 3 2 4 4 2" xfId="1967" xr:uid="{A591968D-45E1-4B33-B66A-6CA9D1344233}"/>
    <cellStyle name="Comma 2 3 3 2 4 5" xfId="1295" xr:uid="{B0B3875F-0951-49D6-874C-C6C891D52FAD}"/>
    <cellStyle name="Comma 2 3 3 2 5" xfId="511" xr:uid="{CF48207A-AEC3-46B8-8958-E2F97F075B14}"/>
    <cellStyle name="Comma 2 3 3 2 5 2" xfId="959" xr:uid="{5B7D67E6-CA65-4C4A-863A-ECF2E66D3993}"/>
    <cellStyle name="Comma 2 3 3 2 5 2 2" xfId="2079" xr:uid="{A9EE73AA-DBC9-43B1-B39D-58B2BEBE9CB5}"/>
    <cellStyle name="Comma 2 3 3 2 5 3" xfId="1631" xr:uid="{D6EEBCDF-CAD5-4B59-ADB1-39F78A32B9C4}"/>
    <cellStyle name="Comma 2 3 3 2 6" xfId="287" xr:uid="{EFA665C5-CD65-41C7-BA33-C53252C87372}"/>
    <cellStyle name="Comma 2 3 3 2 6 2" xfId="1407" xr:uid="{99174C69-8DB5-4B4D-98F1-4BBD079C59A3}"/>
    <cellStyle name="Comma 2 3 3 2 7" xfId="735" xr:uid="{B805D873-4FE7-4EB3-A3FC-98AD37049F81}"/>
    <cellStyle name="Comma 2 3 3 2 7 2" xfId="1855" xr:uid="{BBF4A4E3-951C-4C86-9FB4-06A40DEAE38D}"/>
    <cellStyle name="Comma 2 3 3 2 8" xfId="1183" xr:uid="{38D1AA76-CA3B-427C-8E52-D6B619EAF651}"/>
    <cellStyle name="Comma 2 3 3 3" xfId="72" xr:uid="{0A228690-C74C-48AB-BCD5-541C46F00465}"/>
    <cellStyle name="Comma 2 3 3 3 2" xfId="127" xr:uid="{056AB4A9-2C02-45DF-8811-0DB0C4B68F69}"/>
    <cellStyle name="Comma 2 3 3 3 2 2" xfId="239" xr:uid="{57551F49-F6A2-4658-9036-7C31CC6D9A1D}"/>
    <cellStyle name="Comma 2 3 3 3 2 2 2" xfId="688" xr:uid="{849990EB-2F6B-411B-9043-006344AA5984}"/>
    <cellStyle name="Comma 2 3 3 3 2 2 2 2" xfId="1136" xr:uid="{4142E6E6-F208-451A-A117-6DA6FDF41733}"/>
    <cellStyle name="Comma 2 3 3 3 2 2 2 2 2" xfId="2256" xr:uid="{A0D1DFAC-37ED-4EDC-A744-A3584B8C55A8}"/>
    <cellStyle name="Comma 2 3 3 3 2 2 2 3" xfId="1808" xr:uid="{B77DE69B-7AF0-447B-9633-4D01E288033D}"/>
    <cellStyle name="Comma 2 3 3 3 2 2 3" xfId="464" xr:uid="{341A07F1-6149-4EBD-91E6-A822EAE14788}"/>
    <cellStyle name="Comma 2 3 3 3 2 2 3 2" xfId="1584" xr:uid="{203C7615-9372-44D0-B54D-FBA9BC82087D}"/>
    <cellStyle name="Comma 2 3 3 3 2 2 4" xfId="912" xr:uid="{182CBAC4-1804-49A8-A6E5-AE33662AD4EB}"/>
    <cellStyle name="Comma 2 3 3 3 2 2 4 2" xfId="2032" xr:uid="{D9410A9C-D82E-47BA-B61E-FFD00E03CE63}"/>
    <cellStyle name="Comma 2 3 3 3 2 2 5" xfId="1360" xr:uid="{EC31D2A3-2B23-4897-8371-E668B7D0A76D}"/>
    <cellStyle name="Comma 2 3 3 3 2 3" xfId="576" xr:uid="{E565644D-4CB2-462A-91BC-266430BE4A2A}"/>
    <cellStyle name="Comma 2 3 3 3 2 3 2" xfId="1024" xr:uid="{6AD56A2E-4E1F-4F89-9AC0-F01220F7DD66}"/>
    <cellStyle name="Comma 2 3 3 3 2 3 2 2" xfId="2144" xr:uid="{801B3F9F-2CC1-4561-B29D-758B1621EDC0}"/>
    <cellStyle name="Comma 2 3 3 3 2 3 3" xfId="1696" xr:uid="{7E34CAA6-8FD2-4953-B5E1-9E5C81C293BB}"/>
    <cellStyle name="Comma 2 3 3 3 2 4" xfId="352" xr:uid="{B02EDBCF-86FE-4190-A328-FD5AF272267A}"/>
    <cellStyle name="Comma 2 3 3 3 2 4 2" xfId="1472" xr:uid="{E137BE47-B944-4308-BA68-16B908B9102A}"/>
    <cellStyle name="Comma 2 3 3 3 2 5" xfId="800" xr:uid="{7631AA03-AC3D-4AB8-B614-A3C265293805}"/>
    <cellStyle name="Comma 2 3 3 3 2 5 2" xfId="1920" xr:uid="{FCD9ACAA-AFDD-4F28-8FA8-E38FAA160851}"/>
    <cellStyle name="Comma 2 3 3 3 2 6" xfId="1248" xr:uid="{5CEDF21E-8A85-4487-995E-E75A6266F573}"/>
    <cellStyle name="Comma 2 3 3 3 3" xfId="185" xr:uid="{3C6CDF93-18C5-4F3C-AB92-46785D38E4CC}"/>
    <cellStyle name="Comma 2 3 3 3 3 2" xfId="634" xr:uid="{57DFD3B4-96E0-4114-8957-B9CBBC2F23B2}"/>
    <cellStyle name="Comma 2 3 3 3 3 2 2" xfId="1082" xr:uid="{3F63A5C0-E12B-4E5C-9EC1-5BEAE0AD3E94}"/>
    <cellStyle name="Comma 2 3 3 3 3 2 2 2" xfId="2202" xr:uid="{4AEC63C5-D247-4D16-9AA2-C527982167A1}"/>
    <cellStyle name="Comma 2 3 3 3 3 2 3" xfId="1754" xr:uid="{DDA80BE3-6304-4B98-951F-E328D676521A}"/>
    <cellStyle name="Comma 2 3 3 3 3 3" xfId="410" xr:uid="{3D3EDB03-A629-4954-9683-6E50D6CAF97B}"/>
    <cellStyle name="Comma 2 3 3 3 3 3 2" xfId="1530" xr:uid="{03E54DE7-3ECE-4EDB-A7B2-FA2DC4BCC21B}"/>
    <cellStyle name="Comma 2 3 3 3 3 4" xfId="858" xr:uid="{49460957-B0D8-4D0F-BCB7-77FB8A671222}"/>
    <cellStyle name="Comma 2 3 3 3 3 4 2" xfId="1978" xr:uid="{EDE1F877-04A0-4B5D-98FB-0AD16670523D}"/>
    <cellStyle name="Comma 2 3 3 3 3 5" xfId="1306" xr:uid="{6BEF61B0-90C4-42B6-86C1-03A8DF95B4C6}"/>
    <cellStyle name="Comma 2 3 3 3 4" xfId="522" xr:uid="{69C87587-CF79-4A49-A556-E5783D8CBECA}"/>
    <cellStyle name="Comma 2 3 3 3 4 2" xfId="970" xr:uid="{9F4ADF30-E457-4A43-A5AF-2552C50B2CDF}"/>
    <cellStyle name="Comma 2 3 3 3 4 2 2" xfId="2090" xr:uid="{E80205B9-7B5B-4E64-8772-C38C2D74E96D}"/>
    <cellStyle name="Comma 2 3 3 3 4 3" xfId="1642" xr:uid="{5033BF54-3D99-4271-878C-A6400AC79DAC}"/>
    <cellStyle name="Comma 2 3 3 3 5" xfId="298" xr:uid="{77A31FF2-0D0E-4A66-83C0-AA92FD10F1E5}"/>
    <cellStyle name="Comma 2 3 3 3 5 2" xfId="1418" xr:uid="{A6A3D4ED-B415-4C70-8F09-375BF11BF44E}"/>
    <cellStyle name="Comma 2 3 3 3 6" xfId="746" xr:uid="{38930D4F-2C69-4147-850C-DC37846AAF37}"/>
    <cellStyle name="Comma 2 3 3 3 6 2" xfId="1866" xr:uid="{F2BDC072-9D35-47FE-B2C8-C0CA3175C215}"/>
    <cellStyle name="Comma 2 3 3 3 7" xfId="1194" xr:uid="{8FEAE85F-8F17-4DF4-94C6-F9616B515B9B}"/>
    <cellStyle name="Comma 2 3 3 4" xfId="101" xr:uid="{9B1A342F-BC1E-452E-A461-75703CEA7E51}"/>
    <cellStyle name="Comma 2 3 3 4 2" xfId="214" xr:uid="{671E3C1C-6EA6-44CA-B078-E08CD48276E0}"/>
    <cellStyle name="Comma 2 3 3 4 2 2" xfId="663" xr:uid="{DE36DF63-3CE8-465C-B98F-D4AC8D042D3E}"/>
    <cellStyle name="Comma 2 3 3 4 2 2 2" xfId="1111" xr:uid="{53AE01F2-6A7C-41F9-90F5-627EF68D9DFB}"/>
    <cellStyle name="Comma 2 3 3 4 2 2 2 2" xfId="2231" xr:uid="{7BFDD36D-20E9-40F0-B967-D0AC002CC60F}"/>
    <cellStyle name="Comma 2 3 3 4 2 2 3" xfId="1783" xr:uid="{4F443024-391C-4AF8-99F6-0E1B4EFF0831}"/>
    <cellStyle name="Comma 2 3 3 4 2 3" xfId="439" xr:uid="{77D8EC4F-D0BA-4FBE-B49F-8DBF62F48060}"/>
    <cellStyle name="Comma 2 3 3 4 2 3 2" xfId="1559" xr:uid="{0AFA10BF-D047-469B-A056-7EA9D8862879}"/>
    <cellStyle name="Comma 2 3 3 4 2 4" xfId="887" xr:uid="{D0AA92C0-9E1D-442C-BD1F-2D63020A95F3}"/>
    <cellStyle name="Comma 2 3 3 4 2 4 2" xfId="2007" xr:uid="{BCAD4EBD-B0C6-4002-901F-9492933A072C}"/>
    <cellStyle name="Comma 2 3 3 4 2 5" xfId="1335" xr:uid="{CE33199D-29FB-4EC3-86EA-3A8F41B57277}"/>
    <cellStyle name="Comma 2 3 3 4 3" xfId="551" xr:uid="{CBC819E4-08B9-480E-BFA9-83E40FB83A82}"/>
    <cellStyle name="Comma 2 3 3 4 3 2" xfId="999" xr:uid="{F24F6237-9DA5-4E2D-AB81-811F169F7984}"/>
    <cellStyle name="Comma 2 3 3 4 3 2 2" xfId="2119" xr:uid="{936216DF-8589-4D5C-9A7C-E70414ADD9B5}"/>
    <cellStyle name="Comma 2 3 3 4 3 3" xfId="1671" xr:uid="{08B58566-1EEA-4731-B6B9-CE00ABC18DD7}"/>
    <cellStyle name="Comma 2 3 3 4 4" xfId="327" xr:uid="{BF166AAC-0BB5-46CA-B665-6F5DC6D9C30B}"/>
    <cellStyle name="Comma 2 3 3 4 4 2" xfId="1447" xr:uid="{947F93D9-324F-41F5-A634-79ED1E48AB09}"/>
    <cellStyle name="Comma 2 3 3 4 5" xfId="775" xr:uid="{55EC88B0-A3DF-48A4-BFB5-11AD0E493025}"/>
    <cellStyle name="Comma 2 3 3 4 5 2" xfId="1895" xr:uid="{B7463E19-9067-4B09-A4F4-C2EC73BE0CEF}"/>
    <cellStyle name="Comma 2 3 3 4 6" xfId="1223" xr:uid="{5C9B4ABA-1301-4B2A-B3FE-D663FB9C5D9B}"/>
    <cellStyle name="Comma 2 3 3 5" xfId="162" xr:uid="{6EC46D5B-F7F3-43E1-A23A-CD1A5B34A9CA}"/>
    <cellStyle name="Comma 2 3 3 5 2" xfId="611" xr:uid="{7B1597DC-CE4E-4220-8046-E7DC93604831}"/>
    <cellStyle name="Comma 2 3 3 5 2 2" xfId="1059" xr:uid="{88912743-FE48-4EE1-90EF-BC3BB1A9E1F3}"/>
    <cellStyle name="Comma 2 3 3 5 2 2 2" xfId="2179" xr:uid="{296C295E-82E7-4C1A-9DB6-9FA2BDBC7AAF}"/>
    <cellStyle name="Comma 2 3 3 5 2 3" xfId="1731" xr:uid="{A56AA4FA-2336-4777-B4BD-582C097539A6}"/>
    <cellStyle name="Comma 2 3 3 5 3" xfId="387" xr:uid="{31295BFF-8E93-4395-B847-DD31A016D987}"/>
    <cellStyle name="Comma 2 3 3 5 3 2" xfId="1507" xr:uid="{59B73C27-24CE-4C1B-A37D-D9F32129475C}"/>
    <cellStyle name="Comma 2 3 3 5 4" xfId="835" xr:uid="{7500B361-29CF-4CCB-947B-5884368078C7}"/>
    <cellStyle name="Comma 2 3 3 5 4 2" xfId="1955" xr:uid="{D05853C7-E937-4161-AA42-C9B62238EED5}"/>
    <cellStyle name="Comma 2 3 3 5 5" xfId="1283" xr:uid="{62C2B6D4-3331-4327-B892-6F09ED612F22}"/>
    <cellStyle name="Comma 2 3 3 6" xfId="499" xr:uid="{2A590E75-B575-4781-B3B9-995F2FB4E41E}"/>
    <cellStyle name="Comma 2 3 3 6 2" xfId="947" xr:uid="{C3043579-27F0-491E-8C3F-D61CE2358972}"/>
    <cellStyle name="Comma 2 3 3 6 2 2" xfId="2067" xr:uid="{15FEF78A-E345-43B9-9448-AB930DCEEB61}"/>
    <cellStyle name="Comma 2 3 3 6 3" xfId="1619" xr:uid="{C89CA0CD-45BD-4FB3-A0F7-57A0FF7B2A27}"/>
    <cellStyle name="Comma 2 3 3 7" xfId="275" xr:uid="{69B6B485-C23C-44C6-8C2E-793F7597C1BC}"/>
    <cellStyle name="Comma 2 3 3 7 2" xfId="1395" xr:uid="{30970585-9CAF-4F5C-8A2F-2EB041CAA30C}"/>
    <cellStyle name="Comma 2 3 3 8" xfId="723" xr:uid="{E2DF6323-16BF-4048-A7C1-92600D4944D8}"/>
    <cellStyle name="Comma 2 3 3 8 2" xfId="1843" xr:uid="{F86B1FFF-4EE2-489A-9008-2A17070BAD1E}"/>
    <cellStyle name="Comma 2 3 3 9" xfId="1171" xr:uid="{4EAFB162-444A-4FE1-92AA-3FA91E6A867B}"/>
    <cellStyle name="Comma 2 3 4" xfId="55" xr:uid="{C7481300-2236-4C15-987D-424E4A8B78FC}"/>
    <cellStyle name="Comma 2 3 4 2" xfId="78" xr:uid="{27865141-E8CC-44DC-A09E-52B0984DADC6}"/>
    <cellStyle name="Comma 2 3 4 2 2" xfId="133" xr:uid="{6EBF5ABA-8E0C-49D6-821C-3D908DF2E5AD}"/>
    <cellStyle name="Comma 2 3 4 2 2 2" xfId="245" xr:uid="{C1773816-FC1C-4CBF-B4F1-BEC58F9D8088}"/>
    <cellStyle name="Comma 2 3 4 2 2 2 2" xfId="694" xr:uid="{BC40AAFB-FBF6-45B9-AF62-4BAC6B69FA43}"/>
    <cellStyle name="Comma 2 3 4 2 2 2 2 2" xfId="1142" xr:uid="{BD708E14-C4A9-41E4-BDCF-E5DDCD69B0D6}"/>
    <cellStyle name="Comma 2 3 4 2 2 2 2 2 2" xfId="2262" xr:uid="{A1065AE7-1C57-4267-8EB8-7F1DBBE8799B}"/>
    <cellStyle name="Comma 2 3 4 2 2 2 2 3" xfId="1814" xr:uid="{89889FE3-DDFF-442E-8AB7-0431EB57EFD4}"/>
    <cellStyle name="Comma 2 3 4 2 2 2 3" xfId="470" xr:uid="{6F62BDD1-EF9F-4571-856B-2AA8F15CCCD4}"/>
    <cellStyle name="Comma 2 3 4 2 2 2 3 2" xfId="1590" xr:uid="{AFCFBF4F-9DE5-4207-BB7A-B0AAB8FEAF17}"/>
    <cellStyle name="Comma 2 3 4 2 2 2 4" xfId="918" xr:uid="{DE898834-EA9C-442F-8748-CFB076EACF05}"/>
    <cellStyle name="Comma 2 3 4 2 2 2 4 2" xfId="2038" xr:uid="{5F28602E-C763-4E11-8ED8-696EF1B42775}"/>
    <cellStyle name="Comma 2 3 4 2 2 2 5" xfId="1366" xr:uid="{DF27ADFA-1E03-4495-9A5B-8C183F393A84}"/>
    <cellStyle name="Comma 2 3 4 2 2 3" xfId="582" xr:uid="{08029DB5-44E4-41DC-97D4-19B6426530BD}"/>
    <cellStyle name="Comma 2 3 4 2 2 3 2" xfId="1030" xr:uid="{B441D423-2BB8-4C32-AB35-B954AE84040B}"/>
    <cellStyle name="Comma 2 3 4 2 2 3 2 2" xfId="2150" xr:uid="{ED7B0173-C259-47EC-A283-A9307F746282}"/>
    <cellStyle name="Comma 2 3 4 2 2 3 3" xfId="1702" xr:uid="{2791B3BB-4D8E-437A-96A1-01BA2F612FAD}"/>
    <cellStyle name="Comma 2 3 4 2 2 4" xfId="358" xr:uid="{93C10B26-F750-471F-BFA9-6E6CFB3DC0D0}"/>
    <cellStyle name="Comma 2 3 4 2 2 4 2" xfId="1478" xr:uid="{3500117B-3072-4D6A-85CA-05D5BD839FAB}"/>
    <cellStyle name="Comma 2 3 4 2 2 5" xfId="806" xr:uid="{09EDE4E5-F188-4251-A93C-C6E4A19D9209}"/>
    <cellStyle name="Comma 2 3 4 2 2 5 2" xfId="1926" xr:uid="{982E966D-62AC-4EEE-BA3E-382133E8FEE8}"/>
    <cellStyle name="Comma 2 3 4 2 2 6" xfId="1254" xr:uid="{CE006873-73C4-497F-B469-FF050B363ABE}"/>
    <cellStyle name="Comma 2 3 4 2 3" xfId="191" xr:uid="{D21D8C95-83A7-4F73-B42D-D656FBDBA49A}"/>
    <cellStyle name="Comma 2 3 4 2 3 2" xfId="640" xr:uid="{F46FD6A6-98B9-4034-9171-6C196AF91E21}"/>
    <cellStyle name="Comma 2 3 4 2 3 2 2" xfId="1088" xr:uid="{11D1E305-743B-42AB-8CED-28E4C05A13CF}"/>
    <cellStyle name="Comma 2 3 4 2 3 2 2 2" xfId="2208" xr:uid="{5DEEE918-3EDE-4EBF-8F5F-E2AC122EB9D4}"/>
    <cellStyle name="Comma 2 3 4 2 3 2 3" xfId="1760" xr:uid="{D872D54D-33ED-4BF9-B5BE-0B620E01AEA7}"/>
    <cellStyle name="Comma 2 3 4 2 3 3" xfId="416" xr:uid="{50798F57-79F1-4A89-961F-9419187D2BE1}"/>
    <cellStyle name="Comma 2 3 4 2 3 3 2" xfId="1536" xr:uid="{346605F0-10F5-46B7-907C-DA476B6C9266}"/>
    <cellStyle name="Comma 2 3 4 2 3 4" xfId="864" xr:uid="{C3292B22-1A2B-40A5-BEB0-59E6F9E172DB}"/>
    <cellStyle name="Comma 2 3 4 2 3 4 2" xfId="1984" xr:uid="{05B9113D-D417-4759-A0B0-EFB6A78CC4CC}"/>
    <cellStyle name="Comma 2 3 4 2 3 5" xfId="1312" xr:uid="{2B91A90B-5F45-4043-B499-FAFB3CFF18C0}"/>
    <cellStyle name="Comma 2 3 4 2 4" xfId="528" xr:uid="{31648C78-7ED6-465C-8181-CA15E7A01840}"/>
    <cellStyle name="Comma 2 3 4 2 4 2" xfId="976" xr:uid="{D6349A4E-5EC7-4B67-BDA8-9B25D1D05B32}"/>
    <cellStyle name="Comma 2 3 4 2 4 2 2" xfId="2096" xr:uid="{AF370FA7-7B7E-4969-BBF0-C4D764BD4FE1}"/>
    <cellStyle name="Comma 2 3 4 2 4 3" xfId="1648" xr:uid="{0156CEFA-175E-4E92-BF05-EC0671E1DADC}"/>
    <cellStyle name="Comma 2 3 4 2 5" xfId="304" xr:uid="{31F86322-41EA-4D3B-9263-B470C2C2BD37}"/>
    <cellStyle name="Comma 2 3 4 2 5 2" xfId="1424" xr:uid="{49AE45AD-C580-4179-B571-634BD72895D5}"/>
    <cellStyle name="Comma 2 3 4 2 6" xfId="752" xr:uid="{65FBBCA0-7259-49CB-B31D-EC63BC76505A}"/>
    <cellStyle name="Comma 2 3 4 2 6 2" xfId="1872" xr:uid="{AAF30A10-E181-4D09-A50D-034AA9AD8CF6}"/>
    <cellStyle name="Comma 2 3 4 2 7" xfId="1200" xr:uid="{10FD6BA2-8A08-4262-943A-3135CA895872}"/>
    <cellStyle name="Comma 2 3 4 3" xfId="107" xr:uid="{FDE62D1E-25C1-4099-B0E1-927F9B319CFB}"/>
    <cellStyle name="Comma 2 3 4 3 2" xfId="220" xr:uid="{8E777695-130F-400B-8B93-F55E3EDFB27E}"/>
    <cellStyle name="Comma 2 3 4 3 2 2" xfId="669" xr:uid="{6EE05DC7-FF0D-408F-A329-4C585665148E}"/>
    <cellStyle name="Comma 2 3 4 3 2 2 2" xfId="1117" xr:uid="{9274A7B1-32F1-4115-B118-1FB602F8ADB6}"/>
    <cellStyle name="Comma 2 3 4 3 2 2 2 2" xfId="2237" xr:uid="{8F06D26B-FEF9-401D-9E94-D948B8B1085B}"/>
    <cellStyle name="Comma 2 3 4 3 2 2 3" xfId="1789" xr:uid="{D91F0641-CDA6-4F94-8B55-A7CD8123800D}"/>
    <cellStyle name="Comma 2 3 4 3 2 3" xfId="445" xr:uid="{F8F393E3-1580-4966-96A1-3B060589FB45}"/>
    <cellStyle name="Comma 2 3 4 3 2 3 2" xfId="1565" xr:uid="{7EEE94BF-76E5-413B-BFE3-8022791D3A42}"/>
    <cellStyle name="Comma 2 3 4 3 2 4" xfId="893" xr:uid="{3E4145BA-97C9-4277-A68D-674BE3C005ED}"/>
    <cellStyle name="Comma 2 3 4 3 2 4 2" xfId="2013" xr:uid="{D7DAC733-16DF-4134-9C38-240DF83686D0}"/>
    <cellStyle name="Comma 2 3 4 3 2 5" xfId="1341" xr:uid="{CB8BBE3E-007A-4C0C-81BD-137D36F06868}"/>
    <cellStyle name="Comma 2 3 4 3 3" xfId="557" xr:uid="{4C05FC3C-28B6-4023-AC5F-851665799A50}"/>
    <cellStyle name="Comma 2 3 4 3 3 2" xfId="1005" xr:uid="{F0183368-56AC-41CD-B0B1-9DF14D8CFF91}"/>
    <cellStyle name="Comma 2 3 4 3 3 2 2" xfId="2125" xr:uid="{1ABCCA2B-D0F0-44BB-A634-BB1165FC9FBE}"/>
    <cellStyle name="Comma 2 3 4 3 3 3" xfId="1677" xr:uid="{76B09A54-CF56-4165-B06A-E86771B2D089}"/>
    <cellStyle name="Comma 2 3 4 3 4" xfId="333" xr:uid="{05D7D210-BBD3-4E97-B229-44D19D21AF9B}"/>
    <cellStyle name="Comma 2 3 4 3 4 2" xfId="1453" xr:uid="{B26A45A9-B54D-4FC1-8956-648C2A3352D8}"/>
    <cellStyle name="Comma 2 3 4 3 5" xfId="781" xr:uid="{3903341D-1767-45D0-B8B1-84028BB33FCE}"/>
    <cellStyle name="Comma 2 3 4 3 5 2" xfId="1901" xr:uid="{A2613DC2-3D57-4A60-A0B6-84953FBC020F}"/>
    <cellStyle name="Comma 2 3 4 3 6" xfId="1229" xr:uid="{16086400-E5CA-4E5D-BA50-A3BB3A085B5E}"/>
    <cellStyle name="Comma 2 3 4 4" xfId="168" xr:uid="{8F0B5CC6-897B-4C46-B306-70C7BD65FE24}"/>
    <cellStyle name="Comma 2 3 4 4 2" xfId="617" xr:uid="{C830047D-AFFE-4E32-A28B-B9C593A259E1}"/>
    <cellStyle name="Comma 2 3 4 4 2 2" xfId="1065" xr:uid="{B569AE78-DB68-4B23-9BD4-F1D31ADECA2B}"/>
    <cellStyle name="Comma 2 3 4 4 2 2 2" xfId="2185" xr:uid="{EFA8E510-BAFC-4B24-BB76-87BCAA2C6CB6}"/>
    <cellStyle name="Comma 2 3 4 4 2 3" xfId="1737" xr:uid="{D9C9AA19-E1C5-4EAF-BD37-82E1989CD1DC}"/>
    <cellStyle name="Comma 2 3 4 4 3" xfId="393" xr:uid="{EC2753CE-3624-4137-92C9-9BA66955C493}"/>
    <cellStyle name="Comma 2 3 4 4 3 2" xfId="1513" xr:uid="{C29145BF-D8C1-4AC0-9830-5230A7977695}"/>
    <cellStyle name="Comma 2 3 4 4 4" xfId="841" xr:uid="{E789B180-0458-4799-BF91-959B513398B9}"/>
    <cellStyle name="Comma 2 3 4 4 4 2" xfId="1961" xr:uid="{CE02CA52-AA06-4240-AE4D-A264A8F785D9}"/>
    <cellStyle name="Comma 2 3 4 4 5" xfId="1289" xr:uid="{5EC3F732-7B15-4CFB-8561-5F2B9E3F50F6}"/>
    <cellStyle name="Comma 2 3 4 5" xfId="505" xr:uid="{03597F2B-D65D-40E5-82D2-5A5578A5519B}"/>
    <cellStyle name="Comma 2 3 4 5 2" xfId="953" xr:uid="{232C4660-B99F-438D-9458-A5F2BD207448}"/>
    <cellStyle name="Comma 2 3 4 5 2 2" xfId="2073" xr:uid="{84040E9A-AF57-49D2-B29D-D97B8A1332C9}"/>
    <cellStyle name="Comma 2 3 4 5 3" xfId="1625" xr:uid="{3A70EB23-5D02-4EBF-8214-8E7D80932D23}"/>
    <cellStyle name="Comma 2 3 4 6" xfId="281" xr:uid="{153C2BC0-77B9-4167-9640-D59CE5A6CA27}"/>
    <cellStyle name="Comma 2 3 4 6 2" xfId="1401" xr:uid="{92EA4941-784E-495B-AF51-95B3D3671CA2}"/>
    <cellStyle name="Comma 2 3 4 7" xfId="729" xr:uid="{223B0E6D-C7AC-4ED8-A061-D1B773D90CD3}"/>
    <cellStyle name="Comma 2 3 4 7 2" xfId="1849" xr:uid="{48A5290B-350B-4BBD-9372-CA89EDE0F90F}"/>
    <cellStyle name="Comma 2 3 4 8" xfId="1177" xr:uid="{458B3690-E3EA-4B6F-9E99-AEBBD9922B67}"/>
    <cellStyle name="Comma 2 3 5" xfId="66" xr:uid="{65D78881-71E0-4556-B22F-10E3523CEC67}"/>
    <cellStyle name="Comma 2 3 5 2" xfId="121" xr:uid="{0E30953F-109A-4673-A0B7-5A32A62C8B23}"/>
    <cellStyle name="Comma 2 3 5 2 2" xfId="233" xr:uid="{F5DB37B6-074B-4392-AEAC-BC97FC38732B}"/>
    <cellStyle name="Comma 2 3 5 2 2 2" xfId="682" xr:uid="{B5315E6D-B97E-469A-8895-5B0EF0E1DBB8}"/>
    <cellStyle name="Comma 2 3 5 2 2 2 2" xfId="1130" xr:uid="{341BF1C0-49E2-47C3-B95C-CD043F71B714}"/>
    <cellStyle name="Comma 2 3 5 2 2 2 2 2" xfId="2250" xr:uid="{A7348306-C5A5-49E5-B285-7B8A51000094}"/>
    <cellStyle name="Comma 2 3 5 2 2 2 3" xfId="1802" xr:uid="{FC15B8AD-1EFF-4D3C-AF07-360DA80DAA5B}"/>
    <cellStyle name="Comma 2 3 5 2 2 3" xfId="458" xr:uid="{5BF57601-E613-4788-99E5-1AE9918141E1}"/>
    <cellStyle name="Comma 2 3 5 2 2 3 2" xfId="1578" xr:uid="{DA894861-B260-47A7-AE2F-F7A964486A0B}"/>
    <cellStyle name="Comma 2 3 5 2 2 4" xfId="906" xr:uid="{3FD459D4-5947-493C-ADE9-1DF95792BDE5}"/>
    <cellStyle name="Comma 2 3 5 2 2 4 2" xfId="2026" xr:uid="{39EE8EC0-965C-468D-B4A4-DB06E2F4BB88}"/>
    <cellStyle name="Comma 2 3 5 2 2 5" xfId="1354" xr:uid="{982BB4D6-C884-42DE-8757-5521749E8B99}"/>
    <cellStyle name="Comma 2 3 5 2 3" xfId="570" xr:uid="{BB9F3476-5C6B-4E42-886A-3C2105935209}"/>
    <cellStyle name="Comma 2 3 5 2 3 2" xfId="1018" xr:uid="{98444ACC-A616-4152-A86D-1E2350257AD7}"/>
    <cellStyle name="Comma 2 3 5 2 3 2 2" xfId="2138" xr:uid="{9A1FCAC0-F56B-4D2B-91E6-C1166CCD41AE}"/>
    <cellStyle name="Comma 2 3 5 2 3 3" xfId="1690" xr:uid="{26B2D1FF-70A5-4714-A3CA-1AF1482C8E08}"/>
    <cellStyle name="Comma 2 3 5 2 4" xfId="346" xr:uid="{E837A07B-B2D3-4CE5-AA5B-BC76BC8C9884}"/>
    <cellStyle name="Comma 2 3 5 2 4 2" xfId="1466" xr:uid="{C9CED0E8-70CE-4EA3-BE8E-0A48D77926BF}"/>
    <cellStyle name="Comma 2 3 5 2 5" xfId="794" xr:uid="{55217A9B-2378-4044-8C35-99B5C3E1AA76}"/>
    <cellStyle name="Comma 2 3 5 2 5 2" xfId="1914" xr:uid="{C46B585C-9416-44CA-91A0-A645058E0C8B}"/>
    <cellStyle name="Comma 2 3 5 2 6" xfId="1242" xr:uid="{EEEAF032-43B1-47C2-975F-112B2B323FB2}"/>
    <cellStyle name="Comma 2 3 5 3" xfId="179" xr:uid="{3DF5466F-8B91-4057-B5AD-C71E4BB3411A}"/>
    <cellStyle name="Comma 2 3 5 3 2" xfId="628" xr:uid="{B7633E38-A117-4D35-BC6F-E35DB4E024E5}"/>
    <cellStyle name="Comma 2 3 5 3 2 2" xfId="1076" xr:uid="{12FDDD82-C665-4D91-8A90-585F72A3BF8F}"/>
    <cellStyle name="Comma 2 3 5 3 2 2 2" xfId="2196" xr:uid="{E065B7FD-3114-48E4-B714-7638EEA15D5E}"/>
    <cellStyle name="Comma 2 3 5 3 2 3" xfId="1748" xr:uid="{AE54A16B-C3C8-4D71-8D4A-2B86C5EFFA3E}"/>
    <cellStyle name="Comma 2 3 5 3 3" xfId="404" xr:uid="{A3ABBDA1-63D2-449D-B6FE-6048823DE63B}"/>
    <cellStyle name="Comma 2 3 5 3 3 2" xfId="1524" xr:uid="{17B4C6CD-2108-4B25-B426-17EE8BDD0CE0}"/>
    <cellStyle name="Comma 2 3 5 3 4" xfId="852" xr:uid="{9030A7AE-A465-4560-BD85-A068A4393499}"/>
    <cellStyle name="Comma 2 3 5 3 4 2" xfId="1972" xr:uid="{731D49A5-457B-4FAF-A6B5-FC306FC46C8A}"/>
    <cellStyle name="Comma 2 3 5 3 5" xfId="1300" xr:uid="{D47507B1-F193-49C7-955A-0D5B9828AC8A}"/>
    <cellStyle name="Comma 2 3 5 4" xfId="516" xr:uid="{6430265B-F205-41C6-B70A-D81FE9DAA535}"/>
    <cellStyle name="Comma 2 3 5 4 2" xfId="964" xr:uid="{3F6AE9F5-5161-472E-8498-649515D878AF}"/>
    <cellStyle name="Comma 2 3 5 4 2 2" xfId="2084" xr:uid="{0C0B5DF1-22D5-4E99-BAB2-0C1D40BB494F}"/>
    <cellStyle name="Comma 2 3 5 4 3" xfId="1636" xr:uid="{72E8720B-BD7B-41D0-A61B-14826EC4D3C2}"/>
    <cellStyle name="Comma 2 3 5 5" xfId="292" xr:uid="{AB308354-4D95-49C7-ACD6-DCBB96057F42}"/>
    <cellStyle name="Comma 2 3 5 5 2" xfId="1412" xr:uid="{40616235-240E-4F57-92DD-B960529DC351}"/>
    <cellStyle name="Comma 2 3 5 6" xfId="740" xr:uid="{E64D806C-5FA5-44DF-B4D6-7A10D705223D}"/>
    <cellStyle name="Comma 2 3 5 6 2" xfId="1860" xr:uid="{20C839A0-9D18-4DD2-9E4C-36CED27DFF10}"/>
    <cellStyle name="Comma 2 3 5 7" xfId="1188" xr:uid="{3C7E5865-89E2-4759-92C9-CEEC73F0D854}"/>
    <cellStyle name="Comma 2 3 6" xfId="95" xr:uid="{4137992C-EFF2-4397-96C9-FD5350AED2F1}"/>
    <cellStyle name="Comma 2 3 6 2" xfId="208" xr:uid="{242EFCBD-25BC-405C-AE9A-E44F1D4987FE}"/>
    <cellStyle name="Comma 2 3 6 2 2" xfId="657" xr:uid="{E231A0A8-3366-434D-8B4F-A942AA049957}"/>
    <cellStyle name="Comma 2 3 6 2 2 2" xfId="1105" xr:uid="{62A2158E-5276-480C-B3FF-1CF73ECD0113}"/>
    <cellStyle name="Comma 2 3 6 2 2 2 2" xfId="2225" xr:uid="{55842B4D-21F8-4387-82D6-4C91C2DCFEC5}"/>
    <cellStyle name="Comma 2 3 6 2 2 3" xfId="1777" xr:uid="{FB2B5CD2-5D62-4CE1-A200-4AE64709A996}"/>
    <cellStyle name="Comma 2 3 6 2 3" xfId="433" xr:uid="{CDDAD8F2-780D-4748-81C0-5B3399339299}"/>
    <cellStyle name="Comma 2 3 6 2 3 2" xfId="1553" xr:uid="{31D9BB0E-B705-48E4-9C91-B53670C76F90}"/>
    <cellStyle name="Comma 2 3 6 2 4" xfId="881" xr:uid="{DAAE215A-734C-4063-A255-9CEC9C0D1E4C}"/>
    <cellStyle name="Comma 2 3 6 2 4 2" xfId="2001" xr:uid="{45F5FEB5-5AB5-439E-BEFD-B55800941DFC}"/>
    <cellStyle name="Comma 2 3 6 2 5" xfId="1329" xr:uid="{B42B9BE9-0442-40A2-8F2E-15650BBF2A12}"/>
    <cellStyle name="Comma 2 3 6 3" xfId="545" xr:uid="{931EA77F-7B72-4094-8CCF-B8BE5FCBA21A}"/>
    <cellStyle name="Comma 2 3 6 3 2" xfId="993" xr:uid="{FDF537D9-704B-47A1-BF9D-DAB2E9A242BE}"/>
    <cellStyle name="Comma 2 3 6 3 2 2" xfId="2113" xr:uid="{554B1F09-6ADC-4A8A-A2D5-363C3503BF95}"/>
    <cellStyle name="Comma 2 3 6 3 3" xfId="1665" xr:uid="{DD3CF7C5-F5F7-40C2-964E-9FD38E556D73}"/>
    <cellStyle name="Comma 2 3 6 4" xfId="321" xr:uid="{DA0FEF37-9922-41F4-96B6-B6AF85600C97}"/>
    <cellStyle name="Comma 2 3 6 4 2" xfId="1441" xr:uid="{3F029922-0BFB-4FD6-A332-8A79D2039973}"/>
    <cellStyle name="Comma 2 3 6 5" xfId="769" xr:uid="{83506FA3-CFD2-400D-8104-7262A1A260F9}"/>
    <cellStyle name="Comma 2 3 6 5 2" xfId="1889" xr:uid="{AB35AA89-3343-45F7-B599-3A03309196E7}"/>
    <cellStyle name="Comma 2 3 6 6" xfId="1217" xr:uid="{151D118D-F854-4B78-BC1D-34907DD72BB9}"/>
    <cellStyle name="Comma 2 3 7" xfId="156" xr:uid="{820145B3-BF27-41DF-AB6F-2847798D2F30}"/>
    <cellStyle name="Comma 2 3 7 2" xfId="605" xr:uid="{A3CFDEBB-3A71-4DD5-825D-18DE7D3490DF}"/>
    <cellStyle name="Comma 2 3 7 2 2" xfId="1053" xr:uid="{A91E8414-CEE5-4131-846A-3896A42229EB}"/>
    <cellStyle name="Comma 2 3 7 2 2 2" xfId="2173" xr:uid="{18105CAD-EC3E-4DD5-ABA9-AD15E6C14226}"/>
    <cellStyle name="Comma 2 3 7 2 3" xfId="1725" xr:uid="{10CEDB0D-4108-4236-B20A-758D8D7DE4B3}"/>
    <cellStyle name="Comma 2 3 7 3" xfId="381" xr:uid="{2A0FC7C4-65E7-400F-8BB5-C7D734D05EC2}"/>
    <cellStyle name="Comma 2 3 7 3 2" xfId="1501" xr:uid="{F316C5B5-25C3-468D-BC3B-5C9DA373318D}"/>
    <cellStyle name="Comma 2 3 7 4" xfId="829" xr:uid="{DF0288AC-6907-43B6-9279-3300C7203FA3}"/>
    <cellStyle name="Comma 2 3 7 4 2" xfId="1949" xr:uid="{D3C97D2A-CF91-430A-AC34-C6CA9021E22C}"/>
    <cellStyle name="Comma 2 3 7 5" xfId="1277" xr:uid="{2A7C3179-1E64-4AD8-96D0-8C0433D5D327}"/>
    <cellStyle name="Comma 2 3 8" xfId="493" xr:uid="{D6C3C591-B721-4A08-91C3-F0E01A00902C}"/>
    <cellStyle name="Comma 2 3 8 2" xfId="941" xr:uid="{47700021-FB54-4C32-9006-987ECE3B52AE}"/>
    <cellStyle name="Comma 2 3 8 2 2" xfId="2061" xr:uid="{7D19D0E3-F9B3-45B4-9222-B2E5C1279BC6}"/>
    <cellStyle name="Comma 2 3 8 3" xfId="1613" xr:uid="{79F4DAE4-E775-4D92-971F-2AE2B6AA1A6C}"/>
    <cellStyle name="Comma 2 3 9" xfId="269" xr:uid="{55140587-DABB-4772-95EB-34B7F321C1C7}"/>
    <cellStyle name="Comma 2 3 9 2" xfId="1389" xr:uid="{3D1ADBAA-371B-4E0F-A9B9-15EC5E9F941D}"/>
    <cellStyle name="Comma 2 4" xfId="45" xr:uid="{24559FA4-7973-4BF4-9183-D241A124EA05}"/>
    <cellStyle name="Comma 2 4 10" xfId="1167" xr:uid="{929B6322-1F46-435A-9B11-9B1426977380}"/>
    <cellStyle name="Comma 2 4 2" xfId="51" xr:uid="{CEC29046-3813-4ADF-83B1-B78E1C69F032}"/>
    <cellStyle name="Comma 2 4 2 2" xfId="63" xr:uid="{A5933162-6D47-4A6E-A76F-2F4486929BA2}"/>
    <cellStyle name="Comma 2 4 2 2 2" xfId="86" xr:uid="{695FFD39-26D5-4EF7-A9C7-A99DA7B0FD70}"/>
    <cellStyle name="Comma 2 4 2 2 2 2" xfId="141" xr:uid="{2DC4DF1E-DEBD-4F50-A7E3-36A3323A3F81}"/>
    <cellStyle name="Comma 2 4 2 2 2 2 2" xfId="253" xr:uid="{76A701F6-C62D-428C-B7B2-18FDCA9A615D}"/>
    <cellStyle name="Comma 2 4 2 2 2 2 2 2" xfId="702" xr:uid="{6BDBA5E2-894D-46CC-B024-E5D841CF04D7}"/>
    <cellStyle name="Comma 2 4 2 2 2 2 2 2 2" xfId="1150" xr:uid="{B9FD619C-01E6-401F-B59E-3465EEC2C333}"/>
    <cellStyle name="Comma 2 4 2 2 2 2 2 2 2 2" xfId="2270" xr:uid="{BE0280DF-5FAC-4E16-8C69-BE85BFBF135E}"/>
    <cellStyle name="Comma 2 4 2 2 2 2 2 2 3" xfId="1822" xr:uid="{145A941E-933C-4E29-A514-B5F1CEBA153B}"/>
    <cellStyle name="Comma 2 4 2 2 2 2 2 3" xfId="478" xr:uid="{28A1DA1E-B0AD-4575-89DB-EF991580C27E}"/>
    <cellStyle name="Comma 2 4 2 2 2 2 2 3 2" xfId="1598" xr:uid="{0E3FA751-5FBB-4115-AEE5-1879F634738A}"/>
    <cellStyle name="Comma 2 4 2 2 2 2 2 4" xfId="926" xr:uid="{D39163DC-5AB1-4A85-A85B-A4B123FA1A53}"/>
    <cellStyle name="Comma 2 4 2 2 2 2 2 4 2" xfId="2046" xr:uid="{5EE0C0A4-6D0F-45DE-A587-DCE2F06FE01D}"/>
    <cellStyle name="Comma 2 4 2 2 2 2 2 5" xfId="1374" xr:uid="{60EC275C-07BD-4FD4-B99B-FE27EAA63797}"/>
    <cellStyle name="Comma 2 4 2 2 2 2 3" xfId="590" xr:uid="{E9BDE1FD-32CE-4263-A05B-1867A590ED64}"/>
    <cellStyle name="Comma 2 4 2 2 2 2 3 2" xfId="1038" xr:uid="{E06C1F6F-F839-400A-A40C-7BBA126A8A59}"/>
    <cellStyle name="Comma 2 4 2 2 2 2 3 2 2" xfId="2158" xr:uid="{6589CEF4-D910-4AC2-8F22-B18BE3CCDF56}"/>
    <cellStyle name="Comma 2 4 2 2 2 2 3 3" xfId="1710" xr:uid="{294FF392-DB75-42AE-83F1-D9358751CE48}"/>
    <cellStyle name="Comma 2 4 2 2 2 2 4" xfId="366" xr:uid="{19E161F0-5202-44CF-8EDB-E84CC5460B0D}"/>
    <cellStyle name="Comma 2 4 2 2 2 2 4 2" xfId="1486" xr:uid="{D0A252E4-033C-4C73-8436-3674CAF3E202}"/>
    <cellStyle name="Comma 2 4 2 2 2 2 5" xfId="814" xr:uid="{1D405F26-2B07-4D92-B735-EC4D61F4DDC4}"/>
    <cellStyle name="Comma 2 4 2 2 2 2 5 2" xfId="1934" xr:uid="{6F6A7F54-6EFA-4EC6-A6C6-C316245FD947}"/>
    <cellStyle name="Comma 2 4 2 2 2 2 6" xfId="1262" xr:uid="{F6F5FFD0-090E-4500-99F4-DCA9C51EE904}"/>
    <cellStyle name="Comma 2 4 2 2 2 3" xfId="199" xr:uid="{3FE5E7A6-89A1-4687-97B3-8D08B0D93781}"/>
    <cellStyle name="Comma 2 4 2 2 2 3 2" xfId="648" xr:uid="{A0B58F10-3A98-4030-A8D5-B7C8EABA1758}"/>
    <cellStyle name="Comma 2 4 2 2 2 3 2 2" xfId="1096" xr:uid="{3EE9B8BE-4438-4BA1-8BCD-48C7D9056D1B}"/>
    <cellStyle name="Comma 2 4 2 2 2 3 2 2 2" xfId="2216" xr:uid="{77C3A73B-CDF2-4D50-AD1F-46C0C34AB42A}"/>
    <cellStyle name="Comma 2 4 2 2 2 3 2 3" xfId="1768" xr:uid="{D174C67F-5BDE-4482-A91D-CA90DA27825C}"/>
    <cellStyle name="Comma 2 4 2 2 2 3 3" xfId="424" xr:uid="{366AE69C-FB2F-46A6-AC1B-9F2D25A93C48}"/>
    <cellStyle name="Comma 2 4 2 2 2 3 3 2" xfId="1544" xr:uid="{D0DF570B-3071-4FCB-928E-B778CEFA9EB8}"/>
    <cellStyle name="Comma 2 4 2 2 2 3 4" xfId="872" xr:uid="{E15CD812-C3CB-45AE-AA04-E40152A5F496}"/>
    <cellStyle name="Comma 2 4 2 2 2 3 4 2" xfId="1992" xr:uid="{84738EF6-E14C-4D35-B0C4-645EF7904C55}"/>
    <cellStyle name="Comma 2 4 2 2 2 3 5" xfId="1320" xr:uid="{35F287C4-1454-41BA-AE7D-5D75034F610D}"/>
    <cellStyle name="Comma 2 4 2 2 2 4" xfId="536" xr:uid="{AC039461-82C3-4ACE-9E38-CCD1F65A4DA6}"/>
    <cellStyle name="Comma 2 4 2 2 2 4 2" xfId="984" xr:uid="{F09AB681-26EB-4288-B7C5-7CCE0EC5D6E9}"/>
    <cellStyle name="Comma 2 4 2 2 2 4 2 2" xfId="2104" xr:uid="{102D5923-4AA9-496C-9271-75BFA7A38D76}"/>
    <cellStyle name="Comma 2 4 2 2 2 4 3" xfId="1656" xr:uid="{8E2809D1-4378-4330-A1B1-CDBF015961D9}"/>
    <cellStyle name="Comma 2 4 2 2 2 5" xfId="312" xr:uid="{68F283F6-099A-4A7A-8634-7C43D7DD7093}"/>
    <cellStyle name="Comma 2 4 2 2 2 5 2" xfId="1432" xr:uid="{89B0AB39-89AB-40A5-B6D9-5B471CB64B61}"/>
    <cellStyle name="Comma 2 4 2 2 2 6" xfId="760" xr:uid="{E75AFF75-CD51-4789-9987-AEB008D6EEF0}"/>
    <cellStyle name="Comma 2 4 2 2 2 6 2" xfId="1880" xr:uid="{5F9920A3-2926-4272-BDF2-A3F22B1B17A1}"/>
    <cellStyle name="Comma 2 4 2 2 2 7" xfId="1208" xr:uid="{73AE0234-4A7F-4E29-82BB-2DED575EDD35}"/>
    <cellStyle name="Comma 2 4 2 2 3" xfId="115" xr:uid="{5EA27CB7-9A11-4B81-AA97-77DA2241027A}"/>
    <cellStyle name="Comma 2 4 2 2 3 2" xfId="228" xr:uid="{29B1B6C7-609F-4A8E-8101-C9272CD2DE02}"/>
    <cellStyle name="Comma 2 4 2 2 3 2 2" xfId="677" xr:uid="{097C1FE6-8D6E-4904-A470-29028D3249FE}"/>
    <cellStyle name="Comma 2 4 2 2 3 2 2 2" xfId="1125" xr:uid="{68EC0674-6B12-415D-9DA1-4A47B9D721C5}"/>
    <cellStyle name="Comma 2 4 2 2 3 2 2 2 2" xfId="2245" xr:uid="{F0ABB143-C117-4EFA-BED6-6957F453DCE0}"/>
    <cellStyle name="Comma 2 4 2 2 3 2 2 3" xfId="1797" xr:uid="{B96AB11C-9CE4-4FEF-8BBD-79DEA6297C5E}"/>
    <cellStyle name="Comma 2 4 2 2 3 2 3" xfId="453" xr:uid="{674DD208-C22C-4A7F-9624-9CBDA9D93CD6}"/>
    <cellStyle name="Comma 2 4 2 2 3 2 3 2" xfId="1573" xr:uid="{D69C70F9-9661-410D-95C7-969353EEB4AC}"/>
    <cellStyle name="Comma 2 4 2 2 3 2 4" xfId="901" xr:uid="{8EA52012-64EF-4308-800B-3C20985C91DB}"/>
    <cellStyle name="Comma 2 4 2 2 3 2 4 2" xfId="2021" xr:uid="{6C67AB8B-D24D-40ED-8D54-83F9920E2192}"/>
    <cellStyle name="Comma 2 4 2 2 3 2 5" xfId="1349" xr:uid="{7088DD7D-9987-4970-B3C2-70315D7450AA}"/>
    <cellStyle name="Comma 2 4 2 2 3 3" xfId="565" xr:uid="{69850F4A-1468-401E-8F94-7F7C1A95B159}"/>
    <cellStyle name="Comma 2 4 2 2 3 3 2" xfId="1013" xr:uid="{8C2308AB-81F1-4F27-938A-A70FBC1E0D9A}"/>
    <cellStyle name="Comma 2 4 2 2 3 3 2 2" xfId="2133" xr:uid="{0422B47C-0116-47C8-9C28-AEDD477E363E}"/>
    <cellStyle name="Comma 2 4 2 2 3 3 3" xfId="1685" xr:uid="{AACDF994-E69C-4E6B-9F4F-8EAB0E1F2B1B}"/>
    <cellStyle name="Comma 2 4 2 2 3 4" xfId="341" xr:uid="{3D1C9209-A2FB-4E23-9BAC-21C4C9D505FE}"/>
    <cellStyle name="Comma 2 4 2 2 3 4 2" xfId="1461" xr:uid="{66BE0F7B-55CA-46F4-8576-334E6E6D0B2D}"/>
    <cellStyle name="Comma 2 4 2 2 3 5" xfId="789" xr:uid="{B1CD3C88-B99A-4F95-95BB-5FD95ECF5C91}"/>
    <cellStyle name="Comma 2 4 2 2 3 5 2" xfId="1909" xr:uid="{139D88E5-383B-4C51-84A1-EF8BD00289F2}"/>
    <cellStyle name="Comma 2 4 2 2 3 6" xfId="1237" xr:uid="{8963B5D6-6333-4514-9525-F752624956BD}"/>
    <cellStyle name="Comma 2 4 2 2 4" xfId="176" xr:uid="{637FD5F7-2E2A-426D-8547-9E820E7ACE69}"/>
    <cellStyle name="Comma 2 4 2 2 4 2" xfId="625" xr:uid="{ECF68AAE-C2FB-4809-8510-051D7EED88FA}"/>
    <cellStyle name="Comma 2 4 2 2 4 2 2" xfId="1073" xr:uid="{24BB1C45-46A5-461C-A91D-B7ED601EA678}"/>
    <cellStyle name="Comma 2 4 2 2 4 2 2 2" xfId="2193" xr:uid="{821EEB39-7AD9-4BE9-9273-6402C433FD4E}"/>
    <cellStyle name="Comma 2 4 2 2 4 2 3" xfId="1745" xr:uid="{4D8C2495-C133-4962-8BD4-2626F3EE0A95}"/>
    <cellStyle name="Comma 2 4 2 2 4 3" xfId="401" xr:uid="{A94FB78D-AAA5-4A84-8875-07C9DBD6AD52}"/>
    <cellStyle name="Comma 2 4 2 2 4 3 2" xfId="1521" xr:uid="{A55A26EC-E99D-402A-A8CC-3356A1D008CE}"/>
    <cellStyle name="Comma 2 4 2 2 4 4" xfId="849" xr:uid="{37E80E63-D892-4BBA-BEE5-E9C088011564}"/>
    <cellStyle name="Comma 2 4 2 2 4 4 2" xfId="1969" xr:uid="{BA43617F-520A-4B4F-9207-51A049A257C4}"/>
    <cellStyle name="Comma 2 4 2 2 4 5" xfId="1297" xr:uid="{2224C11F-8DF8-48C4-A889-7B99A2CF0CAC}"/>
    <cellStyle name="Comma 2 4 2 2 5" xfId="513" xr:uid="{7142A9FB-D4CB-42C6-A250-9F679717DE7A}"/>
    <cellStyle name="Comma 2 4 2 2 5 2" xfId="961" xr:uid="{9271AA9E-34AB-4CC3-8C2E-CCF981067FD6}"/>
    <cellStyle name="Comma 2 4 2 2 5 2 2" xfId="2081" xr:uid="{A163A2A6-43A0-40D7-973C-CCBEABE01DA7}"/>
    <cellStyle name="Comma 2 4 2 2 5 3" xfId="1633" xr:uid="{0E148F73-6517-4405-90B4-60B341167F82}"/>
    <cellStyle name="Comma 2 4 2 2 6" xfId="289" xr:uid="{ED20DAC9-5A52-4902-B817-49C0A80F376E}"/>
    <cellStyle name="Comma 2 4 2 2 6 2" xfId="1409" xr:uid="{CA3A1483-0708-4CB1-BBA1-0B7A0A01D583}"/>
    <cellStyle name="Comma 2 4 2 2 7" xfId="737" xr:uid="{53BC275A-CE08-480A-BEC5-08F97DB900CC}"/>
    <cellStyle name="Comma 2 4 2 2 7 2" xfId="1857" xr:uid="{2DC1DEE1-1394-4542-93B7-D9F07092278F}"/>
    <cellStyle name="Comma 2 4 2 2 8" xfId="1185" xr:uid="{7AF1818D-0F13-4ED7-BA48-C119F6E0CAF1}"/>
    <cellStyle name="Comma 2 4 2 3" xfId="74" xr:uid="{F8387E56-9702-4795-B3B5-8182BE6710E3}"/>
    <cellStyle name="Comma 2 4 2 3 2" xfId="129" xr:uid="{2D8FB154-E6FB-4269-9F1E-5CCF578E86D1}"/>
    <cellStyle name="Comma 2 4 2 3 2 2" xfId="241" xr:uid="{31374934-371D-4D78-97B0-F4C3CA018B6F}"/>
    <cellStyle name="Comma 2 4 2 3 2 2 2" xfId="690" xr:uid="{C08E799E-7D07-48CF-B15C-F8F7E2DC4567}"/>
    <cellStyle name="Comma 2 4 2 3 2 2 2 2" xfId="1138" xr:uid="{43C01772-6441-400A-B4B4-66983BB6080B}"/>
    <cellStyle name="Comma 2 4 2 3 2 2 2 2 2" xfId="2258" xr:uid="{9FDFF626-1A11-4FC2-BDEA-D4DA76716EA9}"/>
    <cellStyle name="Comma 2 4 2 3 2 2 2 3" xfId="1810" xr:uid="{80E55C1E-0C11-441B-AE35-55B5D91EE565}"/>
    <cellStyle name="Comma 2 4 2 3 2 2 3" xfId="466" xr:uid="{B8ABF9DF-45E1-4A52-89D8-682993AD969A}"/>
    <cellStyle name="Comma 2 4 2 3 2 2 3 2" xfId="1586" xr:uid="{E2024F5F-C2D9-44BA-9224-23B09EB0F955}"/>
    <cellStyle name="Comma 2 4 2 3 2 2 4" xfId="914" xr:uid="{409D60D0-7572-4D0A-8620-4DEC6CFDA038}"/>
    <cellStyle name="Comma 2 4 2 3 2 2 4 2" xfId="2034" xr:uid="{099DD805-87DC-4401-BCA4-9A9A509AC812}"/>
    <cellStyle name="Comma 2 4 2 3 2 2 5" xfId="1362" xr:uid="{46674791-0605-4FCA-97F4-6275EA4F5F36}"/>
    <cellStyle name="Comma 2 4 2 3 2 3" xfId="578" xr:uid="{F282AAEF-670B-459C-9A7E-FA7C0E3B7A3F}"/>
    <cellStyle name="Comma 2 4 2 3 2 3 2" xfId="1026" xr:uid="{C754D613-DBE7-49B9-8F18-F24583E56782}"/>
    <cellStyle name="Comma 2 4 2 3 2 3 2 2" xfId="2146" xr:uid="{26F4F66A-1CF9-47A4-A5C5-8D759996E0D6}"/>
    <cellStyle name="Comma 2 4 2 3 2 3 3" xfId="1698" xr:uid="{22A5A332-B4C9-4A42-9950-4B00621865C3}"/>
    <cellStyle name="Comma 2 4 2 3 2 4" xfId="354" xr:uid="{BC8703E5-1060-4FEC-8A7F-5C10958C0941}"/>
    <cellStyle name="Comma 2 4 2 3 2 4 2" xfId="1474" xr:uid="{6205A78D-B1B4-489C-9109-F0A5279730FC}"/>
    <cellStyle name="Comma 2 4 2 3 2 5" xfId="802" xr:uid="{938DC1CA-178F-401B-AD0C-D33F5AFDC112}"/>
    <cellStyle name="Comma 2 4 2 3 2 5 2" xfId="1922" xr:uid="{71DAD4A4-AE5F-4EF1-87F4-6FC33CEDEA66}"/>
    <cellStyle name="Comma 2 4 2 3 2 6" xfId="1250" xr:uid="{BABFED02-B4D4-4471-9F69-56A1EA861F70}"/>
    <cellStyle name="Comma 2 4 2 3 3" xfId="187" xr:uid="{080979CA-C232-40D2-8412-C87AEEB4ACD8}"/>
    <cellStyle name="Comma 2 4 2 3 3 2" xfId="636" xr:uid="{5753AA55-909D-45DB-A61D-E27EBDBB2DBD}"/>
    <cellStyle name="Comma 2 4 2 3 3 2 2" xfId="1084" xr:uid="{EFFE0008-18FD-45CA-8120-FF4C1D30C2BB}"/>
    <cellStyle name="Comma 2 4 2 3 3 2 2 2" xfId="2204" xr:uid="{D9745F2B-0EB7-49CB-9503-B101357E8706}"/>
    <cellStyle name="Comma 2 4 2 3 3 2 3" xfId="1756" xr:uid="{298F95EA-D27D-4AA5-A232-C71E3F3BF1A7}"/>
    <cellStyle name="Comma 2 4 2 3 3 3" xfId="412" xr:uid="{852BC85D-4CD3-4A1F-ABCB-88D7D29068D5}"/>
    <cellStyle name="Comma 2 4 2 3 3 3 2" xfId="1532" xr:uid="{7AA29AA5-5B79-4269-A483-14CB423569A2}"/>
    <cellStyle name="Comma 2 4 2 3 3 4" xfId="860" xr:uid="{2A9E6945-7281-400A-9222-E7BAAADB3818}"/>
    <cellStyle name="Comma 2 4 2 3 3 4 2" xfId="1980" xr:uid="{F67EE3F0-AFFF-4707-9056-B837B6C463A4}"/>
    <cellStyle name="Comma 2 4 2 3 3 5" xfId="1308" xr:uid="{36DD17B9-616B-476F-B704-4040A16DFB95}"/>
    <cellStyle name="Comma 2 4 2 3 4" xfId="524" xr:uid="{4975D6C9-01D4-4AA4-9D08-380A49C69042}"/>
    <cellStyle name="Comma 2 4 2 3 4 2" xfId="972" xr:uid="{728D5071-640C-44B1-AA5E-8259BB8FCA8E}"/>
    <cellStyle name="Comma 2 4 2 3 4 2 2" xfId="2092" xr:uid="{6C50CA7B-59F3-4FC6-BD68-7D2F1D55F1FC}"/>
    <cellStyle name="Comma 2 4 2 3 4 3" xfId="1644" xr:uid="{875B60A4-3C2B-4A70-BF5F-DC39B667B41F}"/>
    <cellStyle name="Comma 2 4 2 3 5" xfId="300" xr:uid="{9779EE0F-F1FC-43F2-A80F-2813A5573A08}"/>
    <cellStyle name="Comma 2 4 2 3 5 2" xfId="1420" xr:uid="{6AD996F6-543D-4A50-A462-D37B3265E216}"/>
    <cellStyle name="Comma 2 4 2 3 6" xfId="748" xr:uid="{50E5B61C-A8C4-44D1-BD2F-10C7C2037210}"/>
    <cellStyle name="Comma 2 4 2 3 6 2" xfId="1868" xr:uid="{89E43FEC-3D37-4194-996F-C7B6D60699B2}"/>
    <cellStyle name="Comma 2 4 2 3 7" xfId="1196" xr:uid="{CCBFA49B-F7F2-48E0-86B7-C05D6E7EB473}"/>
    <cellStyle name="Comma 2 4 2 4" xfId="103" xr:uid="{EBBA976D-AD50-4BF7-A72B-2493984B3FC4}"/>
    <cellStyle name="Comma 2 4 2 4 2" xfId="216" xr:uid="{F7D81F1B-2FFF-4F3D-8280-FF38A18F65D4}"/>
    <cellStyle name="Comma 2 4 2 4 2 2" xfId="665" xr:uid="{61C2766C-C78C-4905-9877-6D040FD94A98}"/>
    <cellStyle name="Comma 2 4 2 4 2 2 2" xfId="1113" xr:uid="{2C52D50E-D67A-4E99-B19C-A6190E1FA0FC}"/>
    <cellStyle name="Comma 2 4 2 4 2 2 2 2" xfId="2233" xr:uid="{9E71DF1E-118B-4898-B905-FCD511B284D8}"/>
    <cellStyle name="Comma 2 4 2 4 2 2 3" xfId="1785" xr:uid="{07A314E2-EC82-4D83-AEF3-D1513D934F9F}"/>
    <cellStyle name="Comma 2 4 2 4 2 3" xfId="441" xr:uid="{B361C934-938F-4F29-8990-61C60199A5E3}"/>
    <cellStyle name="Comma 2 4 2 4 2 3 2" xfId="1561" xr:uid="{103FE17E-EB75-48A4-87CF-8023C4CE2CC8}"/>
    <cellStyle name="Comma 2 4 2 4 2 4" xfId="889" xr:uid="{E6A1C448-12C5-42F5-9D7B-7D5BF18A4046}"/>
    <cellStyle name="Comma 2 4 2 4 2 4 2" xfId="2009" xr:uid="{D66242A0-A394-44F8-8F4A-106A68E7326E}"/>
    <cellStyle name="Comma 2 4 2 4 2 5" xfId="1337" xr:uid="{D2FB79B0-788C-448A-A491-770B85C2AE0C}"/>
    <cellStyle name="Comma 2 4 2 4 3" xfId="553" xr:uid="{75553D8B-0AAC-4C72-BEE1-F460A773B4D5}"/>
    <cellStyle name="Comma 2 4 2 4 3 2" xfId="1001" xr:uid="{47091522-4C22-495C-894D-BC46DFDC3C3F}"/>
    <cellStyle name="Comma 2 4 2 4 3 2 2" xfId="2121" xr:uid="{95FDA553-FAF2-4286-B880-BFDF17C5BE50}"/>
    <cellStyle name="Comma 2 4 2 4 3 3" xfId="1673" xr:uid="{C4FFCC2E-7FE1-485A-AC44-05565121F286}"/>
    <cellStyle name="Comma 2 4 2 4 4" xfId="329" xr:uid="{E0C645AB-F648-4937-81A5-46E38DF77A8E}"/>
    <cellStyle name="Comma 2 4 2 4 4 2" xfId="1449" xr:uid="{F38976B6-745C-4D96-BBAF-2CD5166650D7}"/>
    <cellStyle name="Comma 2 4 2 4 5" xfId="777" xr:uid="{A97220F7-EA8A-4CE5-A374-62EEE1FA4563}"/>
    <cellStyle name="Comma 2 4 2 4 5 2" xfId="1897" xr:uid="{91D28BCC-1A19-4721-9111-237EED219067}"/>
    <cellStyle name="Comma 2 4 2 4 6" xfId="1225" xr:uid="{A9BF218B-41A8-4687-A13D-D780DA7CCCDB}"/>
    <cellStyle name="Comma 2 4 2 5" xfId="164" xr:uid="{2BDEFF3B-8DEA-4AEE-9004-AEC7D450666E}"/>
    <cellStyle name="Comma 2 4 2 5 2" xfId="613" xr:uid="{F6637A4B-9D63-49AE-A25C-671EAF8EC030}"/>
    <cellStyle name="Comma 2 4 2 5 2 2" xfId="1061" xr:uid="{88B5654C-7D32-457A-8897-3299FAAE7F49}"/>
    <cellStyle name="Comma 2 4 2 5 2 2 2" xfId="2181" xr:uid="{39FBD854-8118-4A27-AFE4-68501799DD17}"/>
    <cellStyle name="Comma 2 4 2 5 2 3" xfId="1733" xr:uid="{120F31E0-F7BC-4CA6-BB95-E9A423406574}"/>
    <cellStyle name="Comma 2 4 2 5 3" xfId="389" xr:uid="{7276A01E-6D24-4B7C-BC1E-5B9802AFD55A}"/>
    <cellStyle name="Comma 2 4 2 5 3 2" xfId="1509" xr:uid="{A4575010-E5CB-42E0-BCCD-F0756861FF8D}"/>
    <cellStyle name="Comma 2 4 2 5 4" xfId="837" xr:uid="{464AF5C2-FD79-45A4-95F8-9322AA57966F}"/>
    <cellStyle name="Comma 2 4 2 5 4 2" xfId="1957" xr:uid="{B86135EC-5CA9-4C3B-8362-79C0106E627B}"/>
    <cellStyle name="Comma 2 4 2 5 5" xfId="1285" xr:uid="{A2642FC1-0BA6-4B77-B2BE-17A252264982}"/>
    <cellStyle name="Comma 2 4 2 6" xfId="501" xr:uid="{404875B2-428D-44C9-B9FA-65F2DD1BE711}"/>
    <cellStyle name="Comma 2 4 2 6 2" xfId="949" xr:uid="{4414EA5C-8503-42B1-8086-E652E2FD59B0}"/>
    <cellStyle name="Comma 2 4 2 6 2 2" xfId="2069" xr:uid="{B4A3AFD6-11AB-44E4-B679-A7D0ED0D938C}"/>
    <cellStyle name="Comma 2 4 2 6 3" xfId="1621" xr:uid="{B7966441-D475-4331-AD0C-050CD9E6A27C}"/>
    <cellStyle name="Comma 2 4 2 7" xfId="277" xr:uid="{EC344989-7BBA-4465-9911-0EB717CC0CC3}"/>
    <cellStyle name="Comma 2 4 2 7 2" xfId="1397" xr:uid="{1B7F976D-06D3-4ED0-8084-90E2739AB2FF}"/>
    <cellStyle name="Comma 2 4 2 8" xfId="725" xr:uid="{D047D221-643A-4ECE-9D3B-E48D76DE7DB0}"/>
    <cellStyle name="Comma 2 4 2 8 2" xfId="1845" xr:uid="{FA0269C5-1C76-477F-A7AE-222817A43698}"/>
    <cellStyle name="Comma 2 4 2 9" xfId="1173" xr:uid="{27274506-E85E-4B61-B475-1EFB600AE979}"/>
    <cellStyle name="Comma 2 4 3" xfId="57" xr:uid="{5226E4E6-5CAC-47B1-ABCD-69456A74FAA0}"/>
    <cellStyle name="Comma 2 4 3 2" xfId="80" xr:uid="{77F55E16-7D8E-4CCF-A786-A3C0464F6860}"/>
    <cellStyle name="Comma 2 4 3 2 2" xfId="135" xr:uid="{414860F1-978F-431B-81EB-8439B7E36D6D}"/>
    <cellStyle name="Comma 2 4 3 2 2 2" xfId="247" xr:uid="{9CFA2CE7-9552-42B5-A4DD-38EB91A3F05F}"/>
    <cellStyle name="Comma 2 4 3 2 2 2 2" xfId="696" xr:uid="{A842E01C-8BE5-4547-A2A5-587C420A3BEB}"/>
    <cellStyle name="Comma 2 4 3 2 2 2 2 2" xfId="1144" xr:uid="{8EAD4595-E09E-4934-9915-2C7B1131D3B6}"/>
    <cellStyle name="Comma 2 4 3 2 2 2 2 2 2" xfId="2264" xr:uid="{B73E9A87-D83D-41BC-9770-66FAA3215110}"/>
    <cellStyle name="Comma 2 4 3 2 2 2 2 3" xfId="1816" xr:uid="{BCCE0A3C-FCC8-4AE9-A6A1-9D233C48A322}"/>
    <cellStyle name="Comma 2 4 3 2 2 2 3" xfId="472" xr:uid="{EB4C680B-854C-4347-AC61-55CC4E154CEC}"/>
    <cellStyle name="Comma 2 4 3 2 2 2 3 2" xfId="1592" xr:uid="{3422850B-423C-403B-8940-00EA54A854A1}"/>
    <cellStyle name="Comma 2 4 3 2 2 2 4" xfId="920" xr:uid="{A627108F-E2B4-47FB-B409-05E0B4DAC0EC}"/>
    <cellStyle name="Comma 2 4 3 2 2 2 4 2" xfId="2040" xr:uid="{93902432-B1BB-4E27-96B5-9DEE496BBF73}"/>
    <cellStyle name="Comma 2 4 3 2 2 2 5" xfId="1368" xr:uid="{2ED22729-BF0B-4D7A-9D42-D0F3DB9F8D81}"/>
    <cellStyle name="Comma 2 4 3 2 2 3" xfId="584" xr:uid="{1B5E0A1D-6BB8-4903-B641-533A1064592B}"/>
    <cellStyle name="Comma 2 4 3 2 2 3 2" xfId="1032" xr:uid="{D9E9D255-6FDE-4435-894F-034E08CFA6E7}"/>
    <cellStyle name="Comma 2 4 3 2 2 3 2 2" xfId="2152" xr:uid="{1477B407-5AA3-4C6C-AD1E-CBC6B3C1999B}"/>
    <cellStyle name="Comma 2 4 3 2 2 3 3" xfId="1704" xr:uid="{319EEAC6-6FB8-41E7-96B0-6B6510CEA388}"/>
    <cellStyle name="Comma 2 4 3 2 2 4" xfId="360" xr:uid="{46F5736B-6D9D-4EE4-BA6D-F4BCFE352A0A}"/>
    <cellStyle name="Comma 2 4 3 2 2 4 2" xfId="1480" xr:uid="{AF2CE4BB-5F10-42EC-89E6-A55EB505859D}"/>
    <cellStyle name="Comma 2 4 3 2 2 5" xfId="808" xr:uid="{DF6B2A82-68B8-495D-BC9E-13656EA1BA71}"/>
    <cellStyle name="Comma 2 4 3 2 2 5 2" xfId="1928" xr:uid="{A7A9C817-D0A3-4715-984A-41550467793A}"/>
    <cellStyle name="Comma 2 4 3 2 2 6" xfId="1256" xr:uid="{6A1B6BA6-4F94-4745-978E-D1ADF8E574E2}"/>
    <cellStyle name="Comma 2 4 3 2 3" xfId="193" xr:uid="{5660D8CB-0FDB-4297-B956-13321AEC1B18}"/>
    <cellStyle name="Comma 2 4 3 2 3 2" xfId="642" xr:uid="{E9621338-B5C8-4A48-8EAD-74EEC86F8D5A}"/>
    <cellStyle name="Comma 2 4 3 2 3 2 2" xfId="1090" xr:uid="{B214378B-B5B3-497D-9F3D-D37A88781CCF}"/>
    <cellStyle name="Comma 2 4 3 2 3 2 2 2" xfId="2210" xr:uid="{0AEE28DA-0DBC-44DA-A9E7-5EE47B5E4127}"/>
    <cellStyle name="Comma 2 4 3 2 3 2 3" xfId="1762" xr:uid="{00BCC001-49E6-447E-901B-6FFDD6E364A3}"/>
    <cellStyle name="Comma 2 4 3 2 3 3" xfId="418" xr:uid="{54F27429-BF7D-49A0-9DCA-3E6E26D06020}"/>
    <cellStyle name="Comma 2 4 3 2 3 3 2" xfId="1538" xr:uid="{1566BC39-5A06-4BD5-A9BD-8E719DBE593D}"/>
    <cellStyle name="Comma 2 4 3 2 3 4" xfId="866" xr:uid="{E8B6F69D-0102-48CC-B71E-5169A9895140}"/>
    <cellStyle name="Comma 2 4 3 2 3 4 2" xfId="1986" xr:uid="{EE100F56-3934-4BB6-A1CB-439CA14C0867}"/>
    <cellStyle name="Comma 2 4 3 2 3 5" xfId="1314" xr:uid="{AFE87F07-9C89-46D5-B85A-987852652F88}"/>
    <cellStyle name="Comma 2 4 3 2 4" xfId="530" xr:uid="{FFE1B330-039E-483F-9787-9C894BDEAEDF}"/>
    <cellStyle name="Comma 2 4 3 2 4 2" xfId="978" xr:uid="{F9618CD0-F836-4201-8C4F-159D81862AFC}"/>
    <cellStyle name="Comma 2 4 3 2 4 2 2" xfId="2098" xr:uid="{F8E9C8DB-C112-4D32-B6A9-B001F949E0D2}"/>
    <cellStyle name="Comma 2 4 3 2 4 3" xfId="1650" xr:uid="{F6610061-7DB5-41B6-B230-A0D217190A59}"/>
    <cellStyle name="Comma 2 4 3 2 5" xfId="306" xr:uid="{D372FEAF-12DB-47B8-8C19-28B4838D127C}"/>
    <cellStyle name="Comma 2 4 3 2 5 2" xfId="1426" xr:uid="{07F427C0-C504-40F7-8524-5C034A3E65F3}"/>
    <cellStyle name="Comma 2 4 3 2 6" xfId="754" xr:uid="{1E75BC52-E1A4-447F-9C05-1BDFA933DE6F}"/>
    <cellStyle name="Comma 2 4 3 2 6 2" xfId="1874" xr:uid="{96C67C03-01B0-46F8-8590-116D5DD9716A}"/>
    <cellStyle name="Comma 2 4 3 2 7" xfId="1202" xr:uid="{DEC6E489-73DF-46AA-90FE-00BDE3EA283C}"/>
    <cellStyle name="Comma 2 4 3 3" xfId="109" xr:uid="{3C48E158-3DF9-481E-A049-85FD743363D3}"/>
    <cellStyle name="Comma 2 4 3 3 2" xfId="222" xr:uid="{2544C089-CF5B-49A3-B110-369B0A442814}"/>
    <cellStyle name="Comma 2 4 3 3 2 2" xfId="671" xr:uid="{CE8C132C-3956-4228-98AE-E56AD341E134}"/>
    <cellStyle name="Comma 2 4 3 3 2 2 2" xfId="1119" xr:uid="{7FD07E18-B3E1-475C-BB12-D7C6D2652C56}"/>
    <cellStyle name="Comma 2 4 3 3 2 2 2 2" xfId="2239" xr:uid="{CF68923F-3064-4220-9828-46272F4E2A89}"/>
    <cellStyle name="Comma 2 4 3 3 2 2 3" xfId="1791" xr:uid="{CE44ED27-387E-4A4C-A5D8-21EBA6468B1E}"/>
    <cellStyle name="Comma 2 4 3 3 2 3" xfId="447" xr:uid="{11E5C5E4-18B8-4FB6-9B23-379FEC769FA0}"/>
    <cellStyle name="Comma 2 4 3 3 2 3 2" xfId="1567" xr:uid="{89791CA2-24FD-42AF-9A9A-355D7D2756FB}"/>
    <cellStyle name="Comma 2 4 3 3 2 4" xfId="895" xr:uid="{30FAF89F-F62C-49D1-8F29-5838B20D9488}"/>
    <cellStyle name="Comma 2 4 3 3 2 4 2" xfId="2015" xr:uid="{8023084E-514B-48F6-AEED-68CB6E3594AD}"/>
    <cellStyle name="Comma 2 4 3 3 2 5" xfId="1343" xr:uid="{3AC9EB40-8340-4ACC-B580-97F69677576C}"/>
    <cellStyle name="Comma 2 4 3 3 3" xfId="559" xr:uid="{8375E842-DBDF-4B01-8529-AB292B44E78E}"/>
    <cellStyle name="Comma 2 4 3 3 3 2" xfId="1007" xr:uid="{9653462C-6B82-4899-8525-2557F5F93396}"/>
    <cellStyle name="Comma 2 4 3 3 3 2 2" xfId="2127" xr:uid="{53ADF474-3477-41A7-A0D2-7D19EDDCE619}"/>
    <cellStyle name="Comma 2 4 3 3 3 3" xfId="1679" xr:uid="{D6C27A8D-DC9D-47A6-8154-7304E8898E9F}"/>
    <cellStyle name="Comma 2 4 3 3 4" xfId="335" xr:uid="{C1142C2E-6F39-4112-A00A-E38C2D5DEF7E}"/>
    <cellStyle name="Comma 2 4 3 3 4 2" xfId="1455" xr:uid="{38B25CFA-58E4-4D9A-81C4-A05BE7688FCD}"/>
    <cellStyle name="Comma 2 4 3 3 5" xfId="783" xr:uid="{C2D1D65C-5820-4E51-907E-62EB5DC0BEAD}"/>
    <cellStyle name="Comma 2 4 3 3 5 2" xfId="1903" xr:uid="{6EB2C98E-7053-4E3C-87AD-D9D04BB89610}"/>
    <cellStyle name="Comma 2 4 3 3 6" xfId="1231" xr:uid="{24DB7CBE-6833-4D73-A3B4-F6C9CDE6B5FB}"/>
    <cellStyle name="Comma 2 4 3 4" xfId="170" xr:uid="{9A483D28-2505-4218-8D98-7545F22FCFF2}"/>
    <cellStyle name="Comma 2 4 3 4 2" xfId="619" xr:uid="{A151CAAA-B7BC-48F6-9C9C-4135E156ADDA}"/>
    <cellStyle name="Comma 2 4 3 4 2 2" xfId="1067" xr:uid="{E88709DF-E1F7-4911-8F9B-5616998644B9}"/>
    <cellStyle name="Comma 2 4 3 4 2 2 2" xfId="2187" xr:uid="{E84361E7-F62B-47D3-9330-41D6B98BDEBC}"/>
    <cellStyle name="Comma 2 4 3 4 2 3" xfId="1739" xr:uid="{4C70135A-B269-4AFD-9153-C31C7C45DB75}"/>
    <cellStyle name="Comma 2 4 3 4 3" xfId="395" xr:uid="{A12B06E9-102E-4699-B7A9-9EED371C95CF}"/>
    <cellStyle name="Comma 2 4 3 4 3 2" xfId="1515" xr:uid="{C3CC4C81-FC77-4DFA-A161-14B3C6EF3F9C}"/>
    <cellStyle name="Comma 2 4 3 4 4" xfId="843" xr:uid="{53033FCA-C9F6-448E-88FD-6E9C1CA976EF}"/>
    <cellStyle name="Comma 2 4 3 4 4 2" xfId="1963" xr:uid="{314AC57C-277C-4F78-AFCB-F7FC1AEBBD96}"/>
    <cellStyle name="Comma 2 4 3 4 5" xfId="1291" xr:uid="{1248C2D7-47FF-4B55-A9C0-5635D8813594}"/>
    <cellStyle name="Comma 2 4 3 5" xfId="507" xr:uid="{228F7D1A-6952-4B3F-A97C-14D68054435A}"/>
    <cellStyle name="Comma 2 4 3 5 2" xfId="955" xr:uid="{8D4679D9-0DD8-4B26-B3A6-9D715B63CA7F}"/>
    <cellStyle name="Comma 2 4 3 5 2 2" xfId="2075" xr:uid="{294529B8-F823-403F-AC6D-536CB7ED993A}"/>
    <cellStyle name="Comma 2 4 3 5 3" xfId="1627" xr:uid="{52D7866B-D7A3-4828-A78B-633E8591EB38}"/>
    <cellStyle name="Comma 2 4 3 6" xfId="283" xr:uid="{A990213B-E414-41E4-841B-37E77A880388}"/>
    <cellStyle name="Comma 2 4 3 6 2" xfId="1403" xr:uid="{B7E91EB9-DA49-4F41-978B-6BF14DCEABB7}"/>
    <cellStyle name="Comma 2 4 3 7" xfId="731" xr:uid="{A0D190A3-1993-4FC1-BFB8-204A4BC03B42}"/>
    <cellStyle name="Comma 2 4 3 7 2" xfId="1851" xr:uid="{060DE54C-E71D-4C09-B92D-2B27C00C3D3A}"/>
    <cellStyle name="Comma 2 4 3 8" xfId="1179" xr:uid="{9C21EAC7-C3BA-49E8-A735-8807B359CC9A}"/>
    <cellStyle name="Comma 2 4 4" xfId="68" xr:uid="{AECDBBCF-3EAB-46E7-A4E1-A64F947E983D}"/>
    <cellStyle name="Comma 2 4 4 2" xfId="123" xr:uid="{EF72B5F3-3B18-4C3F-8F66-EEB64D39CD16}"/>
    <cellStyle name="Comma 2 4 4 2 2" xfId="235" xr:uid="{6BDAB317-B713-47A7-8C6A-CC624AD61131}"/>
    <cellStyle name="Comma 2 4 4 2 2 2" xfId="684" xr:uid="{070E5B0E-EAC1-4725-B932-3EE8ADB7647A}"/>
    <cellStyle name="Comma 2 4 4 2 2 2 2" xfId="1132" xr:uid="{3E59D74C-C593-46B2-B970-3175691D6B28}"/>
    <cellStyle name="Comma 2 4 4 2 2 2 2 2" xfId="2252" xr:uid="{FD24E5C8-4C54-4430-A259-1E7427587798}"/>
    <cellStyle name="Comma 2 4 4 2 2 2 3" xfId="1804" xr:uid="{8035AB97-B8DD-4796-B31F-5A9ED3FB3935}"/>
    <cellStyle name="Comma 2 4 4 2 2 3" xfId="460" xr:uid="{D5344B59-096B-4FD3-A51C-1C17B7FE3352}"/>
    <cellStyle name="Comma 2 4 4 2 2 3 2" xfId="1580" xr:uid="{243BF17E-7D9F-408D-A5EB-E7432BEAC3CD}"/>
    <cellStyle name="Comma 2 4 4 2 2 4" xfId="908" xr:uid="{24E81962-E9E9-4545-88E6-64DD59342797}"/>
    <cellStyle name="Comma 2 4 4 2 2 4 2" xfId="2028" xr:uid="{EDDB2412-8634-464B-A952-1B8662561282}"/>
    <cellStyle name="Comma 2 4 4 2 2 5" xfId="1356" xr:uid="{5816EFD2-6E68-4425-AB4D-83D31DD0A11E}"/>
    <cellStyle name="Comma 2 4 4 2 3" xfId="572" xr:uid="{7DFCFF65-714C-4A5D-AD8D-2CC2F0BB125F}"/>
    <cellStyle name="Comma 2 4 4 2 3 2" xfId="1020" xr:uid="{18E1F003-B5C9-48C3-B208-B6FFB24B166F}"/>
    <cellStyle name="Comma 2 4 4 2 3 2 2" xfId="2140" xr:uid="{4E6595D7-7F3F-495C-ABE4-0765328D1FE4}"/>
    <cellStyle name="Comma 2 4 4 2 3 3" xfId="1692" xr:uid="{DE8EC118-1767-4134-A830-BDE1D3341A07}"/>
    <cellStyle name="Comma 2 4 4 2 4" xfId="348" xr:uid="{0B8B2E0B-F7BE-4F67-BA1A-F5CE9EA0D434}"/>
    <cellStyle name="Comma 2 4 4 2 4 2" xfId="1468" xr:uid="{05776DB3-DFA3-4AEE-91B2-9E0C2F24AA4D}"/>
    <cellStyle name="Comma 2 4 4 2 5" xfId="796" xr:uid="{F22204D2-4EDA-4A1F-BE1E-3B7E678765A3}"/>
    <cellStyle name="Comma 2 4 4 2 5 2" xfId="1916" xr:uid="{66E5DE81-2E5B-479C-92A1-3406F8F616EB}"/>
    <cellStyle name="Comma 2 4 4 2 6" xfId="1244" xr:uid="{B330898A-A5A6-4B28-B0D3-56E7D4BA6480}"/>
    <cellStyle name="Comma 2 4 4 3" xfId="181" xr:uid="{2E6C6CED-A56A-42F3-AE80-D51BE775D800}"/>
    <cellStyle name="Comma 2 4 4 3 2" xfId="630" xr:uid="{12233B3B-AC96-4205-974C-ADDD7A1431E0}"/>
    <cellStyle name="Comma 2 4 4 3 2 2" xfId="1078" xr:uid="{C03FE536-3837-4A79-91EB-128B378F2A6F}"/>
    <cellStyle name="Comma 2 4 4 3 2 2 2" xfId="2198" xr:uid="{96C1A0C1-8450-454D-8A3B-A1FBE1136EBF}"/>
    <cellStyle name="Comma 2 4 4 3 2 3" xfId="1750" xr:uid="{3DE46917-72C0-4AB4-A072-B244BCDEB876}"/>
    <cellStyle name="Comma 2 4 4 3 3" xfId="406" xr:uid="{6BB7D9C1-3ED3-4310-8521-BFC3294010DA}"/>
    <cellStyle name="Comma 2 4 4 3 3 2" xfId="1526" xr:uid="{899B9EAD-648D-4C09-8ABB-4B0AF26648A6}"/>
    <cellStyle name="Comma 2 4 4 3 4" xfId="854" xr:uid="{7F466D05-DCFE-456E-96FA-F4ED639E4606}"/>
    <cellStyle name="Comma 2 4 4 3 4 2" xfId="1974" xr:uid="{50000402-F3E6-4353-8900-B4466A656335}"/>
    <cellStyle name="Comma 2 4 4 3 5" xfId="1302" xr:uid="{2F8FA0FE-1501-42A3-8FEC-B7783589E36F}"/>
    <cellStyle name="Comma 2 4 4 4" xfId="518" xr:uid="{4B06AC68-5B8E-48BA-A535-F0FE990FE2CC}"/>
    <cellStyle name="Comma 2 4 4 4 2" xfId="966" xr:uid="{34C0B79F-0399-4F46-9737-9F9A19C3BF1A}"/>
    <cellStyle name="Comma 2 4 4 4 2 2" xfId="2086" xr:uid="{0444277F-2B1F-45B1-AFB7-C71CB21A073F}"/>
    <cellStyle name="Comma 2 4 4 4 3" xfId="1638" xr:uid="{2D3F3140-3627-4916-B3E0-E5EE3F2FA02E}"/>
    <cellStyle name="Comma 2 4 4 5" xfId="294" xr:uid="{7459FB97-E66C-48FE-BD52-82AFD6F469A9}"/>
    <cellStyle name="Comma 2 4 4 5 2" xfId="1414" xr:uid="{EA2902B4-73A2-4CE0-87F2-CF6B29EFC934}"/>
    <cellStyle name="Comma 2 4 4 6" xfId="742" xr:uid="{76AAD016-03C4-4CB7-AD83-65D17955F894}"/>
    <cellStyle name="Comma 2 4 4 6 2" xfId="1862" xr:uid="{B23CE21C-5089-43EC-B663-E08100432841}"/>
    <cellStyle name="Comma 2 4 4 7" xfId="1190" xr:uid="{D143A75D-9F8F-440A-A2D0-4AA8232275C7}"/>
    <cellStyle name="Comma 2 4 5" xfId="97" xr:uid="{DF5C2C29-CC35-4926-8546-72D6E314AA90}"/>
    <cellStyle name="Comma 2 4 5 2" xfId="210" xr:uid="{480BCB08-D3EF-4FE1-81EC-B4349CA035FA}"/>
    <cellStyle name="Comma 2 4 5 2 2" xfId="659" xr:uid="{30486106-9985-46DD-AF42-3C92A6164632}"/>
    <cellStyle name="Comma 2 4 5 2 2 2" xfId="1107" xr:uid="{023286A3-AA80-4D94-916A-7A6D11A26DC5}"/>
    <cellStyle name="Comma 2 4 5 2 2 2 2" xfId="2227" xr:uid="{9AB85F96-8DA0-406D-8C7C-49011B5A177A}"/>
    <cellStyle name="Comma 2 4 5 2 2 3" xfId="1779" xr:uid="{41D6F6B3-FB33-49FC-A849-9646A95C2465}"/>
    <cellStyle name="Comma 2 4 5 2 3" xfId="435" xr:uid="{36BE97E1-1979-4B40-A01F-9EF8B9894678}"/>
    <cellStyle name="Comma 2 4 5 2 3 2" xfId="1555" xr:uid="{661C11A4-2E14-4E37-8C06-342D71D12E35}"/>
    <cellStyle name="Comma 2 4 5 2 4" xfId="883" xr:uid="{8F002FE3-22A3-4019-9933-04E4306A8359}"/>
    <cellStyle name="Comma 2 4 5 2 4 2" xfId="2003" xr:uid="{C9926F2C-619A-4A01-8E93-B29DEB769522}"/>
    <cellStyle name="Comma 2 4 5 2 5" xfId="1331" xr:uid="{789B0F8D-9775-4099-8B39-7A5BD41D89A8}"/>
    <cellStyle name="Comma 2 4 5 3" xfId="547" xr:uid="{E52BD0B6-3FF1-4F60-9C70-C124F51F84FA}"/>
    <cellStyle name="Comma 2 4 5 3 2" xfId="995" xr:uid="{5D65F273-AA3A-4F96-A9F5-D3B0C2CFB8EA}"/>
    <cellStyle name="Comma 2 4 5 3 2 2" xfId="2115" xr:uid="{2A41B1B9-6F76-4481-BAF9-5768BB187992}"/>
    <cellStyle name="Comma 2 4 5 3 3" xfId="1667" xr:uid="{8D0DD521-62AD-4157-A636-E1CED00281E2}"/>
    <cellStyle name="Comma 2 4 5 4" xfId="323" xr:uid="{9EAC8FF6-ADA0-4703-A965-6CC89D6293C7}"/>
    <cellStyle name="Comma 2 4 5 4 2" xfId="1443" xr:uid="{67EE7933-9A4C-4A50-B8C1-E9BD9586FC12}"/>
    <cellStyle name="Comma 2 4 5 5" xfId="771" xr:uid="{5FDE1C48-3A8D-4E85-8780-845A21E22A6E}"/>
    <cellStyle name="Comma 2 4 5 5 2" xfId="1891" xr:uid="{2F24B252-7B1B-4177-86E3-E600A5341BDC}"/>
    <cellStyle name="Comma 2 4 5 6" xfId="1219" xr:uid="{74B20E96-0746-46B5-B349-DC48947F044B}"/>
    <cellStyle name="Comma 2 4 6" xfId="158" xr:uid="{B7FB8C62-3D6A-4B93-A3A8-EAA929F091A3}"/>
    <cellStyle name="Comma 2 4 6 2" xfId="607" xr:uid="{BA821635-34BF-41A0-8B4E-A846A399B394}"/>
    <cellStyle name="Comma 2 4 6 2 2" xfId="1055" xr:uid="{21370294-5F33-49F8-95B3-06A823EAD7B1}"/>
    <cellStyle name="Comma 2 4 6 2 2 2" xfId="2175" xr:uid="{BD19BF26-33C5-4A90-8D11-1F1199A11D6E}"/>
    <cellStyle name="Comma 2 4 6 2 3" xfId="1727" xr:uid="{8CC06146-1330-4018-9C8C-C9C7B2F06749}"/>
    <cellStyle name="Comma 2 4 6 3" xfId="383" xr:uid="{E685213D-9E5C-4351-9D49-9022C650C9D4}"/>
    <cellStyle name="Comma 2 4 6 3 2" xfId="1503" xr:uid="{418005C0-DFA7-4AF3-B11A-FB5304642F1F}"/>
    <cellStyle name="Comma 2 4 6 4" xfId="831" xr:uid="{98B7ACFD-3974-48A9-8493-B7319B2EF78E}"/>
    <cellStyle name="Comma 2 4 6 4 2" xfId="1951" xr:uid="{D423642B-25A6-4BD7-92D2-6D6CA3B30140}"/>
    <cellStyle name="Comma 2 4 6 5" xfId="1279" xr:uid="{8D377382-5A32-42D0-9A4B-B877B83CF14D}"/>
    <cellStyle name="Comma 2 4 7" xfId="495" xr:uid="{81B6BC7E-1256-4DFE-9F77-A5A8020C4736}"/>
    <cellStyle name="Comma 2 4 7 2" xfId="943" xr:uid="{09E03C33-CEEA-4617-88BD-4A284402EBC9}"/>
    <cellStyle name="Comma 2 4 7 2 2" xfId="2063" xr:uid="{8A185500-C939-4590-B3D8-F41698A30CB6}"/>
    <cellStyle name="Comma 2 4 7 3" xfId="1615" xr:uid="{B3933E49-23FF-4E9E-AC3A-E1954E642450}"/>
    <cellStyle name="Comma 2 4 8" xfId="271" xr:uid="{0E8866F3-E428-4E0E-AC1A-3AD4535BD1C2}"/>
    <cellStyle name="Comma 2 4 8 2" xfId="1391" xr:uid="{0C677D88-035E-4457-A8AD-A7FCA379F641}"/>
    <cellStyle name="Comma 2 4 9" xfId="719" xr:uid="{8714D84B-FFAE-4075-8C15-15A32A20A923}"/>
    <cellStyle name="Comma 2 4 9 2" xfId="1839" xr:uid="{5CE4F523-70EA-46C1-BF52-6A0197F768DA}"/>
    <cellStyle name="Comma 2 5" xfId="89" xr:uid="{7C004E97-0530-42E8-BAB5-1D9A70D2A9D1}"/>
    <cellStyle name="Comma 2 5 2" xfId="90" xr:uid="{8159F1A2-B6F3-47ED-9E92-F2E182E0CDF7}"/>
    <cellStyle name="Comma 2 5 2 2" xfId="146" xr:uid="{7706C862-9EB4-46B4-A1C0-37752957B48C}"/>
    <cellStyle name="Comma 2 5 2 2 2" xfId="154" xr:uid="{7D1A019A-D7E4-4B6A-9DDA-1DD01F40BA49}"/>
    <cellStyle name="Comma 2 5 2 2 2 2" xfId="266" xr:uid="{53CC2959-226D-4CE6-9177-245FB1F81892}"/>
    <cellStyle name="Comma 2 5 2 2 2 2 2" xfId="715" xr:uid="{5325B0AB-1897-4091-8D0A-F465DAEF9FBA}"/>
    <cellStyle name="Comma 2 5 2 2 2 2 2 2" xfId="1163" xr:uid="{06691354-1F46-439D-93A1-666985D725ED}"/>
    <cellStyle name="Comma 2 5 2 2 2 2 2 2 2" xfId="2283" xr:uid="{335B93AB-18EF-41DB-A592-5D6C62F55EE7}"/>
    <cellStyle name="Comma 2 5 2 2 2 2 2 3" xfId="1835" xr:uid="{AFECB044-E949-41F2-947C-738CC06FDD83}"/>
    <cellStyle name="Comma 2 5 2 2 2 2 3" xfId="491" xr:uid="{F50C566B-F52A-462E-A4B8-72723521978C}"/>
    <cellStyle name="Comma 2 5 2 2 2 2 3 2" xfId="1611" xr:uid="{75DD406D-921C-4EA8-A4C7-2F17D611E1B1}"/>
    <cellStyle name="Comma 2 5 2 2 2 2 4" xfId="939" xr:uid="{0EBF48C6-A8AC-41F0-AFB4-3705CF8FFE79}"/>
    <cellStyle name="Comma 2 5 2 2 2 2 4 2" xfId="2059" xr:uid="{349A5F76-6E3A-4EA1-8115-74DB3D2AD33E}"/>
    <cellStyle name="Comma 2 5 2 2 2 2 5" xfId="1387" xr:uid="{0981BF4D-9288-42E4-8EC1-8E6441EFD057}"/>
    <cellStyle name="Comma 2 5 2 2 2 3" xfId="603" xr:uid="{43CC325D-D7A6-4C57-91DB-E3772A705921}"/>
    <cellStyle name="Comma 2 5 2 2 2 3 2" xfId="1051" xr:uid="{192EBEF5-F3A7-4CAE-93B6-BF664EF058C0}"/>
    <cellStyle name="Comma 2 5 2 2 2 3 2 2" xfId="2171" xr:uid="{4AF70B6B-8DB3-4AB9-B256-1B1EDD39F26E}"/>
    <cellStyle name="Comma 2 5 2 2 2 3 3" xfId="1723" xr:uid="{E9247B64-310B-48D5-A4B9-1B8F8F41D194}"/>
    <cellStyle name="Comma 2 5 2 2 2 4" xfId="379" xr:uid="{ADFD31E8-F2A4-4CB9-A558-CD2723A26913}"/>
    <cellStyle name="Comma 2 5 2 2 2 4 2" xfId="1499" xr:uid="{F1B0CA6A-28D4-4E14-A662-70D19055A2BB}"/>
    <cellStyle name="Comma 2 5 2 2 2 5" xfId="827" xr:uid="{B4E2FD28-EF19-4178-8778-D53E41016AAB}"/>
    <cellStyle name="Comma 2 5 2 2 2 5 2" xfId="1947" xr:uid="{A50AEC19-198A-4328-B746-0513605F93F8}"/>
    <cellStyle name="Comma 2 5 2 2 2 6" xfId="1275" xr:uid="{4D691E06-CB7A-4FD5-88DB-51D35FD55B01}"/>
    <cellStyle name="Comma 2 5 2 2 3" xfId="258" xr:uid="{B7BA99EF-EA39-4788-89FF-E488DFB1F751}"/>
    <cellStyle name="Comma 2 5 2 2 3 2" xfId="707" xr:uid="{F9563F48-66F0-4A74-9C11-BCCC4CF057EE}"/>
    <cellStyle name="Comma 2 5 2 2 3 2 2" xfId="1155" xr:uid="{5AB83353-3BCD-4C58-90C8-1F82CF22F216}"/>
    <cellStyle name="Comma 2 5 2 2 3 2 2 2" xfId="2275" xr:uid="{51F4A923-D536-430B-8DC9-F5CCE26484FF}"/>
    <cellStyle name="Comma 2 5 2 2 3 2 3" xfId="1827" xr:uid="{ACF478AF-A00F-4E7F-B4C0-AB0EF83C6A6C}"/>
    <cellStyle name="Comma 2 5 2 2 3 3" xfId="483" xr:uid="{49F9E440-D709-4CE4-A5B7-535A210A2B9C}"/>
    <cellStyle name="Comma 2 5 2 2 3 3 2" xfId="1603" xr:uid="{9F08A95D-D21C-4BFD-AA84-56E30535D41B}"/>
    <cellStyle name="Comma 2 5 2 2 3 4" xfId="931" xr:uid="{0835BCBB-18EC-4647-999F-46D77D9B8489}"/>
    <cellStyle name="Comma 2 5 2 2 3 4 2" xfId="2051" xr:uid="{401DFD83-3244-4954-BFB8-A5931EEB3416}"/>
    <cellStyle name="Comma 2 5 2 2 3 5" xfId="1379" xr:uid="{9AEA0838-9D1B-41AA-8049-DA3F7F7592C0}"/>
    <cellStyle name="Comma 2 5 2 2 4" xfId="595" xr:uid="{15C4DE0A-F375-4CBD-9FF0-A1924F6C6AEA}"/>
    <cellStyle name="Comma 2 5 2 2 4 2" xfId="1043" xr:uid="{598B5616-0CD3-4880-B4D7-32F1CE0DD545}"/>
    <cellStyle name="Comma 2 5 2 2 4 2 2" xfId="2163" xr:uid="{3E2B81EF-F1A4-4080-BE55-9070D8B8E4AE}"/>
    <cellStyle name="Comma 2 5 2 2 4 3" xfId="1715" xr:uid="{16242E47-F891-4CA5-98B0-23B36AF6E548}"/>
    <cellStyle name="Comma 2 5 2 2 5" xfId="371" xr:uid="{A1277D95-9AA2-4960-8203-96FC60604D62}"/>
    <cellStyle name="Comma 2 5 2 2 5 2" xfId="1491" xr:uid="{EBA2F7B8-ABD5-4036-9BA5-04CC757F6A28}"/>
    <cellStyle name="Comma 2 5 2 2 6" xfId="819" xr:uid="{F5BC04A7-8ECE-42E5-A07B-B8D5680DEEA1}"/>
    <cellStyle name="Comma 2 5 2 2 6 2" xfId="1939" xr:uid="{5A1C3006-38C0-4E46-B27A-36B51CA1B86A}"/>
    <cellStyle name="Comma 2 5 2 2 7" xfId="1267" xr:uid="{0E7C277B-67B4-43C0-9AA2-A155BF5B0906}"/>
    <cellStyle name="Comma 2 5 2 3" xfId="150" xr:uid="{CD7C05D3-1A04-47FE-9E78-BD72346CC155}"/>
    <cellStyle name="Comma 2 5 2 3 2" xfId="262" xr:uid="{BF468520-67B8-4513-A3EB-9B5A173F10C9}"/>
    <cellStyle name="Comma 2 5 2 3 2 2" xfId="711" xr:uid="{550F48BF-F319-48EE-9813-3FD3C1EA60FF}"/>
    <cellStyle name="Comma 2 5 2 3 2 2 2" xfId="1159" xr:uid="{97AA9587-D139-4FBD-A453-7DF5EBBF25EF}"/>
    <cellStyle name="Comma 2 5 2 3 2 2 2 2" xfId="2279" xr:uid="{3FC87D41-43D3-41D4-BDE1-B6584702A803}"/>
    <cellStyle name="Comma 2 5 2 3 2 2 3" xfId="1831" xr:uid="{74FF4F15-5E26-44A5-84C6-C02F3ACF81CA}"/>
    <cellStyle name="Comma 2 5 2 3 2 3" xfId="487" xr:uid="{53AF5176-F307-4EA7-89DA-559CC9459953}"/>
    <cellStyle name="Comma 2 5 2 3 2 3 2" xfId="1607" xr:uid="{991466D0-379A-419D-897A-57A03A642FD0}"/>
    <cellStyle name="Comma 2 5 2 3 2 4" xfId="935" xr:uid="{D00E6A4C-3F06-49A4-981C-72D1E9211A7F}"/>
    <cellStyle name="Comma 2 5 2 3 2 4 2" xfId="2055" xr:uid="{F9749377-1477-4C80-81C0-8CDAAC53321A}"/>
    <cellStyle name="Comma 2 5 2 3 2 5" xfId="1383" xr:uid="{7A284465-4B7D-4957-A236-EE9588F22D97}"/>
    <cellStyle name="Comma 2 5 2 3 3" xfId="599" xr:uid="{78FF688A-D9AC-4CCE-A4B4-58038E02B306}"/>
    <cellStyle name="Comma 2 5 2 3 3 2" xfId="1047" xr:uid="{335EE25E-0AB9-4E1D-ABBF-F056BE081210}"/>
    <cellStyle name="Comma 2 5 2 3 3 2 2" xfId="2167" xr:uid="{0E81CEF4-BE92-4B81-BA3E-33A735B0E138}"/>
    <cellStyle name="Comma 2 5 2 3 3 3" xfId="1719" xr:uid="{7AC5F13B-B546-4A38-92B4-50DB324D6A7C}"/>
    <cellStyle name="Comma 2 5 2 3 4" xfId="375" xr:uid="{BD90D601-98A7-4A91-9F38-1552B917752A}"/>
    <cellStyle name="Comma 2 5 2 3 4 2" xfId="1495" xr:uid="{47126811-B7A1-46E2-BF3F-0DCB5390B815}"/>
    <cellStyle name="Comma 2 5 2 3 5" xfId="823" xr:uid="{5E6C52E7-6360-4D5C-A332-C1026962E51D}"/>
    <cellStyle name="Comma 2 5 2 3 5 2" xfId="1943" xr:uid="{339BFF24-158E-474D-82F5-CA34E936590A}"/>
    <cellStyle name="Comma 2 5 2 3 6" xfId="1271" xr:uid="{12B68762-F11C-4629-BA36-753A3E91E340}"/>
    <cellStyle name="Comma 2 5 2 4" xfId="203" xr:uid="{3F36C37D-7809-4051-9092-8B4B158B8551}"/>
    <cellStyle name="Comma 2 5 2 4 2" xfId="652" xr:uid="{9797A916-6781-42D5-82FE-B6FF27CEF257}"/>
    <cellStyle name="Comma 2 5 2 4 2 2" xfId="1100" xr:uid="{65FC65A2-C95A-46A3-B34C-CB87C65D89A1}"/>
    <cellStyle name="Comma 2 5 2 4 2 2 2" xfId="2220" xr:uid="{7F76164B-BAA1-478E-A529-8A3E7D589E45}"/>
    <cellStyle name="Comma 2 5 2 4 2 3" xfId="1772" xr:uid="{AE19D79E-FCFF-4B96-A989-32F6723A27F6}"/>
    <cellStyle name="Comma 2 5 2 4 3" xfId="428" xr:uid="{27016CDB-159C-48B8-9FBE-B1CBB83D6F15}"/>
    <cellStyle name="Comma 2 5 2 4 3 2" xfId="1548" xr:uid="{CB3A4AB4-259A-4D0B-890B-5E91AFD0B821}"/>
    <cellStyle name="Comma 2 5 2 4 4" xfId="876" xr:uid="{E7BBBB05-E06F-414D-80F5-CC0A2F6324FF}"/>
    <cellStyle name="Comma 2 5 2 4 4 2" xfId="1996" xr:uid="{897A5AEA-8C14-4C3D-ACC0-E715EC0617E6}"/>
    <cellStyle name="Comma 2 5 2 4 5" xfId="1324" xr:uid="{C66B4696-C7AC-4808-BBBF-C26114FA0062}"/>
    <cellStyle name="Comma 2 5 2 5" xfId="540" xr:uid="{07AF8CE1-7945-4C3A-AF00-ED7951EA47A8}"/>
    <cellStyle name="Comma 2 5 2 5 2" xfId="988" xr:uid="{65246784-2083-42C9-88BC-2D7832D23358}"/>
    <cellStyle name="Comma 2 5 2 5 2 2" xfId="2108" xr:uid="{531354C8-98C3-4E80-BDF1-040EA5823E04}"/>
    <cellStyle name="Comma 2 5 2 5 3" xfId="1660" xr:uid="{307EB10C-4864-43BF-86D1-49EA0FC2A434}"/>
    <cellStyle name="Comma 2 5 2 6" xfId="316" xr:uid="{1F2659B8-FB73-4A49-B958-F5494952D7AD}"/>
    <cellStyle name="Comma 2 5 2 6 2" xfId="1436" xr:uid="{571CF63B-0DBD-4BA5-8075-16686AC589A4}"/>
    <cellStyle name="Comma 2 5 2 7" xfId="764" xr:uid="{EC311874-09BE-4671-8108-DF78749EE467}"/>
    <cellStyle name="Comma 2 5 2 7 2" xfId="1884" xr:uid="{042A66BB-F056-402E-AAD7-E66DDFBA9E9F}"/>
    <cellStyle name="Comma 2 5 2 8" xfId="1212" xr:uid="{729A0510-8651-432B-96A8-5784A1F48579}"/>
    <cellStyle name="Comma 2 5 3" xfId="144" xr:uid="{D034BF90-C585-415E-9BD7-B464FD4ECBC4}"/>
    <cellStyle name="Comma 2 5 3 2" xfId="152" xr:uid="{36C8CEBD-3F37-4A15-A5A3-2C0BF45F33EE}"/>
    <cellStyle name="Comma 2 5 3 2 2" xfId="264" xr:uid="{14FD0B9E-4EEE-4914-BC0A-BDCFAA3D1CD7}"/>
    <cellStyle name="Comma 2 5 3 2 2 2" xfId="713" xr:uid="{BDF0063C-3E61-4A27-BD16-31A317224B8B}"/>
    <cellStyle name="Comma 2 5 3 2 2 2 2" xfId="1161" xr:uid="{69011DFD-96A4-4CEB-BCC7-8AB697D79FBF}"/>
    <cellStyle name="Comma 2 5 3 2 2 2 2 2" xfId="2281" xr:uid="{A0F5C59A-CCD9-41E2-BBD0-BBC1EC00E65F}"/>
    <cellStyle name="Comma 2 5 3 2 2 2 3" xfId="1833" xr:uid="{B39FD5AA-870F-4833-96EB-ECAE6A440FBE}"/>
    <cellStyle name="Comma 2 5 3 2 2 3" xfId="489" xr:uid="{AC103CBD-DDEA-4A7D-8836-AC4EC297CE26}"/>
    <cellStyle name="Comma 2 5 3 2 2 3 2" xfId="1609" xr:uid="{43765E99-B5E2-4CC6-98B4-90DD34053570}"/>
    <cellStyle name="Comma 2 5 3 2 2 4" xfId="937" xr:uid="{B87A4572-D8B5-4F44-8C75-0EF44DE9F796}"/>
    <cellStyle name="Comma 2 5 3 2 2 4 2" xfId="2057" xr:uid="{EBBD4E5C-77CB-462F-98FB-AC694483BCB0}"/>
    <cellStyle name="Comma 2 5 3 2 2 5" xfId="1385" xr:uid="{3EDD3144-46F6-499D-8EB1-3C422264F5A7}"/>
    <cellStyle name="Comma 2 5 3 2 3" xfId="601" xr:uid="{D2D98C2E-82DC-487D-9DB4-5931792411B9}"/>
    <cellStyle name="Comma 2 5 3 2 3 2" xfId="1049" xr:uid="{8FA81E51-320B-4BFE-9738-67262CA36EC3}"/>
    <cellStyle name="Comma 2 5 3 2 3 2 2" xfId="2169" xr:uid="{784E5777-9CD7-4C7E-A268-CCCEA0EF992F}"/>
    <cellStyle name="Comma 2 5 3 2 3 3" xfId="1721" xr:uid="{7D65A527-641D-4AA0-93ED-319CCFCE91B0}"/>
    <cellStyle name="Comma 2 5 3 2 4" xfId="377" xr:uid="{2FFA2D30-D690-4A08-A043-93EAEE7F2417}"/>
    <cellStyle name="Comma 2 5 3 2 4 2" xfId="1497" xr:uid="{73323EB1-B457-4CF9-95C2-1F8D0DA92010}"/>
    <cellStyle name="Comma 2 5 3 2 5" xfId="825" xr:uid="{A26E5D8E-F5ED-4E55-82EE-C9D21C44A324}"/>
    <cellStyle name="Comma 2 5 3 2 5 2" xfId="1945" xr:uid="{5FD2355D-8944-465C-8231-24D6CB7C5601}"/>
    <cellStyle name="Comma 2 5 3 2 6" xfId="1273" xr:uid="{93FA413A-A7E2-4807-8BDD-AB6D7A2BCD0F}"/>
    <cellStyle name="Comma 2 5 3 3" xfId="256" xr:uid="{7DF4E78F-0577-40AE-A780-3CB3B931D6FF}"/>
    <cellStyle name="Comma 2 5 3 3 2" xfId="705" xr:uid="{EF956B0B-766A-45DD-94DB-D19A24BCDE59}"/>
    <cellStyle name="Comma 2 5 3 3 2 2" xfId="1153" xr:uid="{6B76ECDD-C139-4FE6-89B2-A100D06E265D}"/>
    <cellStyle name="Comma 2 5 3 3 2 2 2" xfId="2273" xr:uid="{B0E90908-3207-491C-B18D-293C8F9B56EF}"/>
    <cellStyle name="Comma 2 5 3 3 2 3" xfId="1825" xr:uid="{361CE6A6-C19E-479A-85B8-B7B22E3C6812}"/>
    <cellStyle name="Comma 2 5 3 3 3" xfId="481" xr:uid="{9B5361AC-AEBE-4F6B-B5C2-4BA0348B4358}"/>
    <cellStyle name="Comma 2 5 3 3 3 2" xfId="1601" xr:uid="{76B655F2-7174-4669-995C-A49A2FBCEAF8}"/>
    <cellStyle name="Comma 2 5 3 3 4" xfId="929" xr:uid="{B25CEA8B-9453-4C14-B618-5F3F94BA2471}"/>
    <cellStyle name="Comma 2 5 3 3 4 2" xfId="2049" xr:uid="{2809F4AA-EAF5-4F29-B863-7E20F049F11B}"/>
    <cellStyle name="Comma 2 5 3 3 5" xfId="1377" xr:uid="{8E7D31CC-981C-43A8-9396-577E9D704271}"/>
    <cellStyle name="Comma 2 5 3 4" xfId="593" xr:uid="{5A03763E-EF7A-4528-AA67-528DD75F846C}"/>
    <cellStyle name="Comma 2 5 3 4 2" xfId="1041" xr:uid="{5C57A102-5D36-4F02-94CD-3B7C6CC1306A}"/>
    <cellStyle name="Comma 2 5 3 4 2 2" xfId="2161" xr:uid="{89078536-3989-4CEE-869D-37AE3C660EEA}"/>
    <cellStyle name="Comma 2 5 3 4 3" xfId="1713" xr:uid="{8AFB46A4-B1C5-4264-9900-2813EC051470}"/>
    <cellStyle name="Comma 2 5 3 5" xfId="369" xr:uid="{C565F561-BA48-4F5E-8192-EBAE65BBA977}"/>
    <cellStyle name="Comma 2 5 3 5 2" xfId="1489" xr:uid="{62B21FC7-99B0-4FD5-B145-A2702076826A}"/>
    <cellStyle name="Comma 2 5 3 6" xfId="817" xr:uid="{FF86092A-A5B9-4368-9E52-A97E989489AE}"/>
    <cellStyle name="Comma 2 5 3 6 2" xfId="1937" xr:uid="{B3CBEC8B-D1CA-46B8-90CB-80895CEEDD23}"/>
    <cellStyle name="Comma 2 5 3 7" xfId="1265" xr:uid="{42151646-8019-4000-91D8-8AED6AE286AA}"/>
    <cellStyle name="Comma 2 5 4" xfId="148" xr:uid="{EF2FC2BA-F99C-4E62-BE99-FE01538C76E7}"/>
    <cellStyle name="Comma 2 5 4 2" xfId="260" xr:uid="{B621DAC7-476B-423E-B362-4892807C7884}"/>
    <cellStyle name="Comma 2 5 4 2 2" xfId="709" xr:uid="{4C4673D3-B745-4DCC-A9C6-E460234738D4}"/>
    <cellStyle name="Comma 2 5 4 2 2 2" xfId="1157" xr:uid="{355242BC-57E9-4880-8075-26541D9DDF7E}"/>
    <cellStyle name="Comma 2 5 4 2 2 2 2" xfId="2277" xr:uid="{2FD1C9B0-7389-49F2-BF61-F5310980572E}"/>
    <cellStyle name="Comma 2 5 4 2 2 3" xfId="1829" xr:uid="{30B51C48-B344-4D1B-898B-CBE685DF70FD}"/>
    <cellStyle name="Comma 2 5 4 2 3" xfId="485" xr:uid="{EAD41AFD-723A-493B-BCB1-26F671471DC6}"/>
    <cellStyle name="Comma 2 5 4 2 3 2" xfId="1605" xr:uid="{21935EF2-D3BE-45AF-9ABD-0EB7E8EA1AAE}"/>
    <cellStyle name="Comma 2 5 4 2 4" xfId="933" xr:uid="{57EDA890-C5D4-4456-8649-86BE9CF90754}"/>
    <cellStyle name="Comma 2 5 4 2 4 2" xfId="2053" xr:uid="{2A9E8FF6-76F0-42DE-B049-1D0954837FA3}"/>
    <cellStyle name="Comma 2 5 4 2 5" xfId="1381" xr:uid="{F15A766E-60F0-446C-8F93-93CCB7987F01}"/>
    <cellStyle name="Comma 2 5 4 3" xfId="597" xr:uid="{D1631589-2656-4576-A227-A615A7604965}"/>
    <cellStyle name="Comma 2 5 4 3 2" xfId="1045" xr:uid="{3CD6DBA1-815B-4E49-9E98-52CD04EAFE0D}"/>
    <cellStyle name="Comma 2 5 4 3 2 2" xfId="2165" xr:uid="{FA02CCC8-1BE6-4A5D-A45C-3305262A1F84}"/>
    <cellStyle name="Comma 2 5 4 3 3" xfId="1717" xr:uid="{F11C3331-43BC-4DF0-AF26-EB56ED53072C}"/>
    <cellStyle name="Comma 2 5 4 4" xfId="373" xr:uid="{E74FCAF6-5E5E-4B6F-BEC4-03BFCCC965D4}"/>
    <cellStyle name="Comma 2 5 4 4 2" xfId="1493" xr:uid="{B64E50EF-A504-4925-A841-93E601A60563}"/>
    <cellStyle name="Comma 2 5 4 5" xfId="821" xr:uid="{B0AC3155-ACB0-4699-8335-7977C01CA68A}"/>
    <cellStyle name="Comma 2 5 4 5 2" xfId="1941" xr:uid="{EDED5CE3-6643-4DBE-BDE2-4A2D33E71070}"/>
    <cellStyle name="Comma 2 5 4 6" xfId="1269" xr:uid="{57CF33CE-0722-4B48-B4D5-596B8E412624}"/>
    <cellStyle name="Comma 2 5 5" xfId="202" xr:uid="{61645CF3-F162-44EA-B5FD-FBAACB48CD4E}"/>
    <cellStyle name="Comma 2 5 5 2" xfId="651" xr:uid="{619E8AE7-4C8D-445B-B772-2B7BBDF98C67}"/>
    <cellStyle name="Comma 2 5 5 2 2" xfId="1099" xr:uid="{7603CD5B-E740-457F-AE90-C9DD5D62EF42}"/>
    <cellStyle name="Comma 2 5 5 2 2 2" xfId="2219" xr:uid="{F1B8C79C-147C-4A8E-9132-148B5578D1DB}"/>
    <cellStyle name="Comma 2 5 5 2 3" xfId="1771" xr:uid="{4918AED2-8225-4084-B574-492732BEDA32}"/>
    <cellStyle name="Comma 2 5 5 3" xfId="427" xr:uid="{8EC3E9E5-3942-4B6A-8855-35338528DA37}"/>
    <cellStyle name="Comma 2 5 5 3 2" xfId="1547" xr:uid="{B8B96D5E-ABD3-4230-ABE7-A4577CC39B58}"/>
    <cellStyle name="Comma 2 5 5 4" xfId="875" xr:uid="{D9D0F231-051F-466D-A98C-2198C750626E}"/>
    <cellStyle name="Comma 2 5 5 4 2" xfId="1995" xr:uid="{757F5F7C-3441-4BB2-8D0D-D95C668F48E7}"/>
    <cellStyle name="Comma 2 5 5 5" xfId="1323" xr:uid="{40C71010-08D3-4FCD-BCD4-D3EAEE0C522F}"/>
    <cellStyle name="Comma 2 5 6" xfId="539" xr:uid="{7868930E-4F63-4B58-B054-631A22FC7252}"/>
    <cellStyle name="Comma 2 5 6 2" xfId="987" xr:uid="{2EC2B5CD-14D4-4A79-986A-6FC02805817C}"/>
    <cellStyle name="Comma 2 5 6 2 2" xfId="2107" xr:uid="{A977AE38-AE22-4913-B349-5CD2A845B60B}"/>
    <cellStyle name="Comma 2 5 6 3" xfId="1659" xr:uid="{700E061A-5DEA-4391-AD20-89DB83D66714}"/>
    <cellStyle name="Comma 2 5 7" xfId="315" xr:uid="{DFE13993-DF2E-4090-B0BC-DB62B13D9C5A}"/>
    <cellStyle name="Comma 2 5 7 2" xfId="1435" xr:uid="{E131CCBC-FAF7-4B1D-AEF2-BA7EE8A63FF5}"/>
    <cellStyle name="Comma 2 5 8" xfId="763" xr:uid="{354B4113-E1CC-4A40-A78C-411FD9B29B59}"/>
    <cellStyle name="Comma 2 5 8 2" xfId="1883" xr:uid="{F479EB8E-3200-4773-887D-B249F2FAB218}"/>
    <cellStyle name="Comma 2 5 9" xfId="1211" xr:uid="{0EEF6740-E9B1-41D9-8801-E9F3397170ED}"/>
    <cellStyle name="Comma 2 6" xfId="93" xr:uid="{2B18C5CC-AA01-4102-89E6-01A8CD3C6E71}"/>
    <cellStyle name="Comma 2 6 2" xfId="145" xr:uid="{BBF99A60-8552-4C97-95DD-1E4D2B2BF1C7}"/>
    <cellStyle name="Comma 2 6 2 2" xfId="153" xr:uid="{93D23A97-CCD9-4241-9827-AC3DB414EB84}"/>
    <cellStyle name="Comma 2 6 2 2 2" xfId="265" xr:uid="{457A939D-3208-4462-A84A-79AA16955FDE}"/>
    <cellStyle name="Comma 2 6 2 2 2 2" xfId="714" xr:uid="{8A8A2AD9-2213-4A06-A9C6-1DB17F258CE0}"/>
    <cellStyle name="Comma 2 6 2 2 2 2 2" xfId="1162" xr:uid="{FFAE3B97-CB4D-4479-9696-EE18E0BB891A}"/>
    <cellStyle name="Comma 2 6 2 2 2 2 2 2" xfId="2282" xr:uid="{A726140B-2470-429F-A3F9-EF37FAA09295}"/>
    <cellStyle name="Comma 2 6 2 2 2 2 3" xfId="1834" xr:uid="{9F6542C5-CD2A-420E-A58A-AA3DBF54994C}"/>
    <cellStyle name="Comma 2 6 2 2 2 3" xfId="490" xr:uid="{F3B73A91-842A-4945-9D33-E5A337BD8A05}"/>
    <cellStyle name="Comma 2 6 2 2 2 3 2" xfId="1610" xr:uid="{15983604-6CDE-4A11-8483-1CD69818A956}"/>
    <cellStyle name="Comma 2 6 2 2 2 4" xfId="938" xr:uid="{B90667B9-31B4-4649-9C39-4069E5034434}"/>
    <cellStyle name="Comma 2 6 2 2 2 4 2" xfId="2058" xr:uid="{BB39E7A8-3DBA-4DE5-A2AA-F4413D5D65D7}"/>
    <cellStyle name="Comma 2 6 2 2 2 5" xfId="1386" xr:uid="{E69F7A8C-D784-4588-9108-066FDF744066}"/>
    <cellStyle name="Comma 2 6 2 2 3" xfId="602" xr:uid="{4D054EAD-11CC-4055-9898-54A031D34730}"/>
    <cellStyle name="Comma 2 6 2 2 3 2" xfId="1050" xr:uid="{377363C5-A167-49BC-8E38-47A2BF8B19C3}"/>
    <cellStyle name="Comma 2 6 2 2 3 2 2" xfId="2170" xr:uid="{3035074E-6E40-43DF-9F1E-B5C0D8B6DB80}"/>
    <cellStyle name="Comma 2 6 2 2 3 3" xfId="1722" xr:uid="{2BDE239F-C5F8-4C4F-8A3A-77DBBFF1D69C}"/>
    <cellStyle name="Comma 2 6 2 2 4" xfId="378" xr:uid="{F109DD1C-7326-4572-8BDF-FC634A4A05A8}"/>
    <cellStyle name="Comma 2 6 2 2 4 2" xfId="1498" xr:uid="{80E1AF2B-197A-48CA-83AF-753C1AA3D9EC}"/>
    <cellStyle name="Comma 2 6 2 2 5" xfId="826" xr:uid="{202B9A79-80E4-43DA-BF1D-16C781DA33B8}"/>
    <cellStyle name="Comma 2 6 2 2 5 2" xfId="1946" xr:uid="{7153C1EE-47C8-42F8-91F9-7AC58988A270}"/>
    <cellStyle name="Comma 2 6 2 2 6" xfId="1274" xr:uid="{4F5236BD-8958-437A-922F-AB94A7CCBC3B}"/>
    <cellStyle name="Comma 2 6 2 3" xfId="257" xr:uid="{3F344D0B-A8F1-47D7-9909-B7F4B6003269}"/>
    <cellStyle name="Comma 2 6 2 3 2" xfId="706" xr:uid="{236F86F9-EE62-43B0-8BD4-AB951F6EF822}"/>
    <cellStyle name="Comma 2 6 2 3 2 2" xfId="1154" xr:uid="{ABD1BC11-133B-40BD-8D68-27022407DAE8}"/>
    <cellStyle name="Comma 2 6 2 3 2 2 2" xfId="2274" xr:uid="{11C2C1A8-E1C4-4B27-9EFA-A679D7ACB74B}"/>
    <cellStyle name="Comma 2 6 2 3 2 3" xfId="1826" xr:uid="{FB9935D4-3A34-410F-8698-F75C116DB51E}"/>
    <cellStyle name="Comma 2 6 2 3 3" xfId="482" xr:uid="{599CE196-83CB-414B-83C0-12446CE46FEA}"/>
    <cellStyle name="Comma 2 6 2 3 3 2" xfId="1602" xr:uid="{00F2414B-EC95-4B2F-B5CF-9785E87F3A34}"/>
    <cellStyle name="Comma 2 6 2 3 4" xfId="930" xr:uid="{A603D8B2-E66A-4F46-8F5E-622578CDC69A}"/>
    <cellStyle name="Comma 2 6 2 3 4 2" xfId="2050" xr:uid="{6EFFA1E2-41A0-486A-BAC4-4F7A186F98BA}"/>
    <cellStyle name="Comma 2 6 2 3 5" xfId="1378" xr:uid="{1EDF8C13-3D4A-4C66-ACE3-88B556C99CCA}"/>
    <cellStyle name="Comma 2 6 2 4" xfId="594" xr:uid="{3F6AAFE7-1688-40DD-9403-1A7F372BCAEF}"/>
    <cellStyle name="Comma 2 6 2 4 2" xfId="1042" xr:uid="{C637459F-D466-49D9-898A-D2CC96E9FACF}"/>
    <cellStyle name="Comma 2 6 2 4 2 2" xfId="2162" xr:uid="{2946BDC5-7536-4ED3-AE2C-A84CA50CF7E9}"/>
    <cellStyle name="Comma 2 6 2 4 3" xfId="1714" xr:uid="{1C0C9803-6803-4123-9C6C-04D10B1FE87D}"/>
    <cellStyle name="Comma 2 6 2 5" xfId="370" xr:uid="{51CFBCA4-C428-492A-A53B-B60650CB5F3A}"/>
    <cellStyle name="Comma 2 6 2 5 2" xfId="1490" xr:uid="{889AE1BC-C7AD-4225-A0E1-03C1497E2F0F}"/>
    <cellStyle name="Comma 2 6 2 6" xfId="818" xr:uid="{8BA1A57F-6A23-41CA-866E-2278AAF8330C}"/>
    <cellStyle name="Comma 2 6 2 6 2" xfId="1938" xr:uid="{C494FBFC-E296-4209-93BB-7FCAD952734F}"/>
    <cellStyle name="Comma 2 6 2 7" xfId="1266" xr:uid="{7D842B51-2E0F-4F10-BB11-A00B1B992F03}"/>
    <cellStyle name="Comma 2 6 3" xfId="149" xr:uid="{00BD4B59-58F7-4435-AAD3-D9F451C589D8}"/>
    <cellStyle name="Comma 2 6 3 2" xfId="261" xr:uid="{C1E41491-5306-4608-9E88-E2102AB1D270}"/>
    <cellStyle name="Comma 2 6 3 2 2" xfId="710" xr:uid="{B5A314A1-21A1-423B-9617-35C4DF8A4958}"/>
    <cellStyle name="Comma 2 6 3 2 2 2" xfId="1158" xr:uid="{C655A3C6-1DFA-4592-A5E6-CCD960A04927}"/>
    <cellStyle name="Comma 2 6 3 2 2 2 2" xfId="2278" xr:uid="{5D3C8D7C-2ABB-4DF7-86AE-6C5DE27335C1}"/>
    <cellStyle name="Comma 2 6 3 2 2 3" xfId="1830" xr:uid="{F235F2DC-A6D0-4E3B-B86E-FB02639715FD}"/>
    <cellStyle name="Comma 2 6 3 2 3" xfId="486" xr:uid="{F9220D6B-F2ED-490C-A4B2-3C9FF920E269}"/>
    <cellStyle name="Comma 2 6 3 2 3 2" xfId="1606" xr:uid="{AB59FCF0-8BF1-4095-BFFB-872BDB7C5CD5}"/>
    <cellStyle name="Comma 2 6 3 2 4" xfId="934" xr:uid="{43E9E64C-BCBC-469A-9A4B-5F2C1C90FE2B}"/>
    <cellStyle name="Comma 2 6 3 2 4 2" xfId="2054" xr:uid="{0BAB7801-FC26-41BC-B48E-623B51590D08}"/>
    <cellStyle name="Comma 2 6 3 2 5" xfId="1382" xr:uid="{7DC58088-C0EB-4388-9DA7-6D5EEFBEDACC}"/>
    <cellStyle name="Comma 2 6 3 3" xfId="598" xr:uid="{208C4330-0DF4-44D3-B865-A28B973C562C}"/>
    <cellStyle name="Comma 2 6 3 3 2" xfId="1046" xr:uid="{E55E79E5-CE56-4E60-AE1C-B78E3CB47F61}"/>
    <cellStyle name="Comma 2 6 3 3 2 2" xfId="2166" xr:uid="{6E4B2682-880D-4FB8-A220-FED5D8CCDA20}"/>
    <cellStyle name="Comma 2 6 3 3 3" xfId="1718" xr:uid="{EE899D58-F43F-4CB4-81E4-C449C12019E9}"/>
    <cellStyle name="Comma 2 6 3 4" xfId="374" xr:uid="{20D3FDBA-63E9-4952-965C-9B02334A814B}"/>
    <cellStyle name="Comma 2 6 3 4 2" xfId="1494" xr:uid="{AB5F433A-0F7E-4F01-B4DE-EA8220B326E0}"/>
    <cellStyle name="Comma 2 6 3 5" xfId="822" xr:uid="{E062E6AD-358F-461F-9940-BDDE3E7C0F62}"/>
    <cellStyle name="Comma 2 6 3 5 2" xfId="1942" xr:uid="{C046E3D8-182B-4A50-855D-45E1DA1D18CC}"/>
    <cellStyle name="Comma 2 6 3 6" xfId="1270" xr:uid="{663BA363-8CCC-4830-B5AB-8F0D45EB451C}"/>
    <cellStyle name="Comma 2 6 4" xfId="206" xr:uid="{2BA31072-13EA-48E1-8125-87EA1B93135E}"/>
    <cellStyle name="Comma 2 6 4 2" xfId="655" xr:uid="{038BD402-A4E7-4C19-B947-00D649FFC0E4}"/>
    <cellStyle name="Comma 2 6 4 2 2" xfId="1103" xr:uid="{3085D31D-858F-4BCD-8590-9EFAED53EAF1}"/>
    <cellStyle name="Comma 2 6 4 2 2 2" xfId="2223" xr:uid="{82E6253F-8D89-44D2-B5AC-09F18FD4B05D}"/>
    <cellStyle name="Comma 2 6 4 2 3" xfId="1775" xr:uid="{A57F8F9A-A2FA-45C5-A8D3-FE7184B27CDD}"/>
    <cellStyle name="Comma 2 6 4 3" xfId="431" xr:uid="{62553F29-8B65-4970-A082-BFD0FDD6E6CD}"/>
    <cellStyle name="Comma 2 6 4 3 2" xfId="1551" xr:uid="{79593FAF-1C8F-4FF2-832B-2E6F1AB6A2A3}"/>
    <cellStyle name="Comma 2 6 4 4" xfId="879" xr:uid="{4FBB886C-9BE3-4BB8-8676-E5AEDDB21B3A}"/>
    <cellStyle name="Comma 2 6 4 4 2" xfId="1999" xr:uid="{812D514A-3BAC-43CB-B437-0B07D846C3FA}"/>
    <cellStyle name="Comma 2 6 4 5" xfId="1327" xr:uid="{DF75666B-13D0-4AC7-BFED-12A05EBB3257}"/>
    <cellStyle name="Comma 2 6 5" xfId="543" xr:uid="{7494BE57-AE45-47C8-8C52-1648D834991B}"/>
    <cellStyle name="Comma 2 6 5 2" xfId="991" xr:uid="{77270CD3-F730-46B9-8F4B-1F62EA9B6FEA}"/>
    <cellStyle name="Comma 2 6 5 2 2" xfId="2111" xr:uid="{A9541D6F-C73D-41A6-82F6-3D2724432A01}"/>
    <cellStyle name="Comma 2 6 5 3" xfId="1663" xr:uid="{D5FF1BCD-3A87-4197-AD54-A0ED80D320A3}"/>
    <cellStyle name="Comma 2 6 6" xfId="319" xr:uid="{AC12988C-C988-42C0-AB16-A6E3635E2303}"/>
    <cellStyle name="Comma 2 6 6 2" xfId="1439" xr:uid="{F78F40C3-9521-4F9A-99CB-C14E86B7646D}"/>
    <cellStyle name="Comma 2 6 7" xfId="767" xr:uid="{A4A7DBF3-A6C7-4D77-B51F-11C48277537E}"/>
    <cellStyle name="Comma 2 6 7 2" xfId="1887" xr:uid="{A72F7D89-8916-42E1-8BE4-075AF837A91F}"/>
    <cellStyle name="Comma 2 6 8" xfId="1215" xr:uid="{F34CC908-6ED5-4032-9708-CA8B83149581}"/>
    <cellStyle name="Comma 2 7" xfId="91" xr:uid="{FBBE6E91-E805-4C30-ADBC-C73B1A6B3DC8}"/>
    <cellStyle name="Comma 2 7 2" xfId="151" xr:uid="{E39D2E49-0C8D-4A9D-B94A-31999D94224D}"/>
    <cellStyle name="Comma 2 7 2 2" xfId="263" xr:uid="{B063715E-9804-4369-8995-87FA581E9B5A}"/>
    <cellStyle name="Comma 2 7 2 2 2" xfId="712" xr:uid="{7D1478D5-952C-4FF4-94A9-9EFE5D0B0261}"/>
    <cellStyle name="Comma 2 7 2 2 2 2" xfId="1160" xr:uid="{C98CECB6-0021-4886-890F-865A9209E090}"/>
    <cellStyle name="Comma 2 7 2 2 2 2 2" xfId="2280" xr:uid="{804E74C3-7709-4D1F-B65F-06E96DA4EAB1}"/>
    <cellStyle name="Comma 2 7 2 2 2 3" xfId="1832" xr:uid="{6CAE6FA1-3892-439E-9B9D-D737C9195694}"/>
    <cellStyle name="Comma 2 7 2 2 3" xfId="488" xr:uid="{4DE31E79-9E01-40D2-9E8C-93BD92F68969}"/>
    <cellStyle name="Comma 2 7 2 2 3 2" xfId="1608" xr:uid="{7525C71B-68FF-4626-9AF7-E78188BD480E}"/>
    <cellStyle name="Comma 2 7 2 2 4" xfId="936" xr:uid="{BC357540-D7BC-40E9-9D10-23074DA1F10D}"/>
    <cellStyle name="Comma 2 7 2 2 4 2" xfId="2056" xr:uid="{B2499E60-5CAE-4EF6-BD24-16AD81C30CFA}"/>
    <cellStyle name="Comma 2 7 2 2 5" xfId="1384" xr:uid="{2A57D1C8-1483-4575-887A-BA6549547C92}"/>
    <cellStyle name="Comma 2 7 2 3" xfId="600" xr:uid="{667FF459-A2E4-4F91-9FDE-4F68FFD7091F}"/>
    <cellStyle name="Comma 2 7 2 3 2" xfId="1048" xr:uid="{7BB3B32C-7D2C-4068-9D0E-D37757C46BAB}"/>
    <cellStyle name="Comma 2 7 2 3 2 2" xfId="2168" xr:uid="{67B2F838-CD79-41D8-88B6-B3230F9BD171}"/>
    <cellStyle name="Comma 2 7 2 3 3" xfId="1720" xr:uid="{23023BE9-2797-49D8-B64E-69CBDD688238}"/>
    <cellStyle name="Comma 2 7 2 4" xfId="376" xr:uid="{D36E506D-EB8F-46A4-B376-D4808B90FCED}"/>
    <cellStyle name="Comma 2 7 2 4 2" xfId="1496" xr:uid="{43D3D177-DC83-47C0-B5CB-7F4EEF3EC068}"/>
    <cellStyle name="Comma 2 7 2 5" xfId="824" xr:uid="{27FCF79E-26E5-4F96-804A-CB2DBDA577F8}"/>
    <cellStyle name="Comma 2 7 2 5 2" xfId="1944" xr:uid="{676E222E-C90F-47EC-9174-76D62DA6C58B}"/>
    <cellStyle name="Comma 2 7 2 6" xfId="1272" xr:uid="{C0092416-1875-4531-90A4-B539E18A0006}"/>
    <cellStyle name="Comma 2 7 3" xfId="204" xr:uid="{D0A1E4A2-69ED-49D3-9B89-36570DC4F120}"/>
    <cellStyle name="Comma 2 7 3 2" xfId="653" xr:uid="{CCB71B3B-54C9-4681-A0EF-21E9F111266A}"/>
    <cellStyle name="Comma 2 7 3 2 2" xfId="1101" xr:uid="{1FEFC0DB-9805-4743-8E48-52523D6DC7FF}"/>
    <cellStyle name="Comma 2 7 3 2 2 2" xfId="2221" xr:uid="{8FB5F57C-D37C-41F8-BF15-EFBE3333AAE4}"/>
    <cellStyle name="Comma 2 7 3 2 3" xfId="1773" xr:uid="{AFE2A9D4-AE84-4119-8D73-1647453E3ADD}"/>
    <cellStyle name="Comma 2 7 3 3" xfId="429" xr:uid="{90802193-B78F-4BF6-B55A-6B489ACC1D36}"/>
    <cellStyle name="Comma 2 7 3 3 2" xfId="1549" xr:uid="{9574344B-6B93-49CB-94BD-47CCBD5F97ED}"/>
    <cellStyle name="Comma 2 7 3 4" xfId="877" xr:uid="{9F66405C-9526-4F5D-83C7-F3B6C1D06A83}"/>
    <cellStyle name="Comma 2 7 3 4 2" xfId="1997" xr:uid="{3700B994-7FC1-4BEB-AD13-F07B7783D00F}"/>
    <cellStyle name="Comma 2 7 3 5" xfId="1325" xr:uid="{7AEF6D78-0637-4675-B274-C6766164A4E0}"/>
    <cellStyle name="Comma 2 7 4" xfId="541" xr:uid="{B060E25C-1948-4E0A-B620-1907D77D9B5A}"/>
    <cellStyle name="Comma 2 7 4 2" xfId="989" xr:uid="{431DE906-6F72-4424-BA6A-60237FFEA562}"/>
    <cellStyle name="Comma 2 7 4 2 2" xfId="2109" xr:uid="{2AD57CFC-DD67-45E4-864A-72019A0A0E05}"/>
    <cellStyle name="Comma 2 7 4 3" xfId="1661" xr:uid="{AD263842-19E1-4D47-A744-A7933CCD8E43}"/>
    <cellStyle name="Comma 2 7 5" xfId="317" xr:uid="{78AD62C4-E460-4E9E-AEC7-C469044BE8DD}"/>
    <cellStyle name="Comma 2 7 5 2" xfId="1437" xr:uid="{23B0237D-715B-4146-B601-6B352F8F11FD}"/>
    <cellStyle name="Comma 2 7 6" xfId="765" xr:uid="{EC0FE102-4C70-4FCE-96B8-3A6EC8D6768C}"/>
    <cellStyle name="Comma 2 7 6 2" xfId="1885" xr:uid="{A4737495-53EB-4EF4-87B0-BF6AF5158A91}"/>
    <cellStyle name="Comma 2 7 7" xfId="1213" xr:uid="{1218AB2E-F5CD-4C28-A615-CEE701BAC140}"/>
    <cellStyle name="Comma 2 8" xfId="147" xr:uid="{36EABE09-46A9-45AB-9E0E-0A99E57E760C}"/>
    <cellStyle name="Comma 2 8 2" xfId="259" xr:uid="{68A97D87-8891-48E6-A19D-1FB2CABFE84D}"/>
    <cellStyle name="Comma 2 8 2 2" xfId="708" xr:uid="{F6DE05B4-4775-4D2B-A099-439E2D759B79}"/>
    <cellStyle name="Comma 2 8 2 2 2" xfId="1156" xr:uid="{E914093D-4336-4242-ACCD-3D9A218B782C}"/>
    <cellStyle name="Comma 2 8 2 2 2 2" xfId="2276" xr:uid="{8836DE39-2131-46D9-9CE4-55F4D34E8BC0}"/>
    <cellStyle name="Comma 2 8 2 2 3" xfId="1828" xr:uid="{6626898E-160F-4679-A945-1DA19FEC67BE}"/>
    <cellStyle name="Comma 2 8 2 3" xfId="484" xr:uid="{7A4535E0-37E0-4487-8FDD-321F4C8582AE}"/>
    <cellStyle name="Comma 2 8 2 3 2" xfId="1604" xr:uid="{C1DFA88A-2333-466C-9157-51A3136F3A7D}"/>
    <cellStyle name="Comma 2 8 2 4" xfId="932" xr:uid="{3262B066-3094-4739-9367-9AF411044D3D}"/>
    <cellStyle name="Comma 2 8 2 4 2" xfId="2052" xr:uid="{0378178B-273A-46FD-88F2-68E389F42A2A}"/>
    <cellStyle name="Comma 2 8 2 5" xfId="1380" xr:uid="{CFD189D3-827D-4484-8755-03BE79FEC159}"/>
    <cellStyle name="Comma 2 8 3" xfId="596" xr:uid="{2CB1B8E2-CE25-42A5-BE95-7F0992E611E5}"/>
    <cellStyle name="Comma 2 8 3 2" xfId="1044" xr:uid="{2DF653F7-28DA-42E8-828F-CB8CC3BF3979}"/>
    <cellStyle name="Comma 2 8 3 2 2" xfId="2164" xr:uid="{66FC9986-D287-484A-9129-6B7935A077C3}"/>
    <cellStyle name="Comma 2 8 3 3" xfId="1716" xr:uid="{A513440C-73F7-4A9E-8ADA-A0DE53D57487}"/>
    <cellStyle name="Comma 2 8 4" xfId="372" xr:uid="{79501386-B14C-47E0-8F41-FF12CF7320EB}"/>
    <cellStyle name="Comma 2 8 4 2" xfId="1492" xr:uid="{394D9812-AF3E-4BD0-8AA6-86A273A6BFC4}"/>
    <cellStyle name="Comma 2 8 5" xfId="820" xr:uid="{EF8CFA30-5DF0-4BA8-8B56-F512059412E3}"/>
    <cellStyle name="Comma 2 8 5 2" xfId="1940" xr:uid="{2A19A75A-98F1-4386-8E2C-AD5420515483}"/>
    <cellStyle name="Comma 2 8 6" xfId="1268" xr:uid="{3B5330E1-5E6C-40A4-9DD5-160A5DC5F702}"/>
    <cellStyle name="Comma 2 9" xfId="231" xr:uid="{D662DECD-807A-4C25-B4D5-2F409EC912C0}"/>
    <cellStyle name="Comma 2 9 2" xfId="680" xr:uid="{BB6FF4CC-F203-469C-A6BE-E861941A270C}"/>
    <cellStyle name="Comma 2 9 2 2" xfId="1128" xr:uid="{48F78DF7-4947-4E8E-ABB5-B6EC4FB3BB54}"/>
    <cellStyle name="Comma 2 9 2 2 2" xfId="2248" xr:uid="{E03AB449-5A26-4AFC-9529-4D233E53C827}"/>
    <cellStyle name="Comma 2 9 2 3" xfId="1800" xr:uid="{3D9F7C53-A0DD-4A6D-A946-2BE9079E2A50}"/>
    <cellStyle name="Comma 2 9 3" xfId="456" xr:uid="{3B7C5742-6A41-4336-BA0A-6D7DB2ECDB25}"/>
    <cellStyle name="Comma 2 9 3 2" xfId="1576" xr:uid="{E4453368-B8DD-4EB0-BA3E-1287E6616806}"/>
    <cellStyle name="Comma 2 9 4" xfId="904" xr:uid="{29DEA813-30D8-4512-AC10-C570FB05DBA0}"/>
    <cellStyle name="Comma 2 9 4 2" xfId="2024" xr:uid="{2011022B-7D17-41FF-B709-53E608FD4C2E}"/>
    <cellStyle name="Comma 2 9 5" xfId="1352" xr:uid="{334AB862-D2A4-4925-B5EE-06A0797CAFB9}"/>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267" builtinId="8"/>
    <cellStyle name="Input" xfId="9" builtinId="20" customBuiltin="1"/>
    <cellStyle name="Linked Cell" xfId="12" builtinId="24" customBuiltin="1"/>
    <cellStyle name="Neutral" xfId="8" builtinId="28" customBuiltin="1"/>
    <cellStyle name="Normal" xfId="0" builtinId="0"/>
    <cellStyle name="Normal 2" xfId="118" xr:uid="{7DF906C9-850F-46DA-A96E-A63AFDEDE658}"/>
    <cellStyle name="Note" xfId="15" builtinId="10" customBuiltin="1"/>
    <cellStyle name="Output" xfId="10" builtinId="21" customBuiltin="1"/>
    <cellStyle name="Percent" xfId="2284" builtinId="5"/>
    <cellStyle name="Title" xfId="1" builtinId="15" customBuiltin="1"/>
    <cellStyle name="Total" xfId="17" builtinId="25" customBuiltin="1"/>
    <cellStyle name="Warning Text" xfId="14" builtinId="11" customBuiltin="1"/>
  </cellStyles>
  <dxfs count="7">
    <dxf>
      <fill>
        <patternFill patternType="solid">
          <fgColor theme="0" tint="-0.14999847407452621"/>
          <bgColor theme="0" tint="-0.14999847407452621"/>
        </patternFill>
      </fill>
    </dxf>
    <dxf>
      <fill>
        <patternFill patternType="solid">
          <fgColor theme="0" tint="-0.14996795556505021"/>
          <bgColor rgb="FFE0E0E0"/>
        </patternFill>
      </fill>
    </dxf>
    <dxf>
      <font>
        <b/>
        <color theme="0"/>
      </font>
      <fill>
        <patternFill patternType="solid">
          <fgColor theme="4"/>
          <bgColor theme="4"/>
        </patternFill>
      </fill>
    </dxf>
    <dxf>
      <font>
        <b/>
        <color theme="0"/>
      </font>
      <fill>
        <patternFill patternType="solid">
          <fgColor theme="4"/>
          <bgColor theme="4"/>
        </patternFill>
      </fill>
    </dxf>
    <dxf>
      <border>
        <top style="double">
          <color theme="1"/>
        </top>
      </border>
    </dxf>
    <dxf>
      <font>
        <b/>
        <color theme="0"/>
      </font>
      <fill>
        <patternFill patternType="solid">
          <fgColor theme="4"/>
          <bgColor theme="4"/>
        </patternFill>
      </fill>
      <border>
        <bottom style="medium">
          <color theme="1"/>
        </bottom>
      </border>
    </dxf>
    <dxf>
      <font>
        <color theme="1"/>
      </font>
      <border>
        <left style="thin">
          <color theme="1"/>
        </left>
        <right style="thin">
          <color theme="1"/>
        </right>
        <top style="medium">
          <color theme="1"/>
        </top>
        <bottom style="medium">
          <color theme="1"/>
        </bottom>
        <vertical style="thin">
          <color theme="1" tint="0.499984740745262"/>
        </vertical>
      </border>
    </dxf>
  </dxfs>
  <tableStyles count="2" defaultTableStyle="TableStyleMedium2" defaultPivotStyle="PivotStyleLight16">
    <tableStyle name="AA 1" pivot="0" count="7" xr9:uid="{555A5713-DC0B-4D3D-BD74-E9ECC004AA18}">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Table Style 1" pivot="0" count="0" xr9:uid="{CA3C1C1E-F307-49C2-9A70-D6996B1B2FC7}"/>
  </tableStyles>
  <colors>
    <mruColors>
      <color rgb="FF2D4B7B"/>
      <color rgb="FFBC8F10"/>
      <color rgb="FF2F7F29"/>
      <color rgb="FF8AB1EA"/>
      <color rgb="FFCC9200"/>
      <color rgb="FFFCEF8E"/>
      <color rgb="FF379430"/>
      <color rgb="FFBAF7B7"/>
      <color rgb="FFB33737"/>
      <color rgb="FFFF9B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590550</xdr:colOff>
      <xdr:row>4</xdr:row>
      <xdr:rowOff>104775</xdr:rowOff>
    </xdr:to>
    <xdr:pic>
      <xdr:nvPicPr>
        <xdr:cNvPr id="3" name="Picture 29">
          <a:extLst>
            <a:ext uri="{FF2B5EF4-FFF2-40B4-BE49-F238E27FC236}">
              <a16:creationId xmlns:a16="http://schemas.microsoft.com/office/drawing/2014/main" id="{00000000-0008-0000-0000-000003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621" t="-13750" r="-1"/>
        <a:stretch/>
      </xdr:blipFill>
      <xdr:spPr bwMode="auto">
        <a:xfrm>
          <a:off x="0" y="0"/>
          <a:ext cx="12001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xdr:colOff>
      <xdr:row>0</xdr:row>
      <xdr:rowOff>0</xdr:rowOff>
    </xdr:from>
    <xdr:to>
      <xdr:col>1</xdr:col>
      <xdr:colOff>571620</xdr:colOff>
      <xdr:row>4</xdr:row>
      <xdr:rowOff>133721</xdr:rowOff>
    </xdr:to>
    <xdr:pic>
      <xdr:nvPicPr>
        <xdr:cNvPr id="2" name="Picture 29">
          <a:extLst>
            <a:ext uri="{FF2B5EF4-FFF2-40B4-BE49-F238E27FC236}">
              <a16:creationId xmlns:a16="http://schemas.microsoft.com/office/drawing/2014/main" id="{7E339698-F2F1-48E6-8A30-1441B287604B}"/>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621" t="-13750" r="-1"/>
        <a:stretch/>
      </xdr:blipFill>
      <xdr:spPr bwMode="auto">
        <a:xfrm>
          <a:off x="1" y="0"/>
          <a:ext cx="1196459" cy="8652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209547</xdr:colOff>
      <xdr:row>79</xdr:row>
      <xdr:rowOff>136332</xdr:rowOff>
    </xdr:from>
    <xdr:to>
      <xdr:col>15</xdr:col>
      <xdr:colOff>402950</xdr:colOff>
      <xdr:row>100</xdr:row>
      <xdr:rowOff>68479</xdr:rowOff>
    </xdr:to>
    <xdr:grpSp>
      <xdr:nvGrpSpPr>
        <xdr:cNvPr id="14" name="Group 13">
          <a:extLst>
            <a:ext uri="{FF2B5EF4-FFF2-40B4-BE49-F238E27FC236}">
              <a16:creationId xmlns:a16="http://schemas.microsoft.com/office/drawing/2014/main" id="{EC370F53-4B5B-552F-8B6B-A55AE7EA29DA}"/>
            </a:ext>
          </a:extLst>
        </xdr:cNvPr>
        <xdr:cNvGrpSpPr/>
      </xdr:nvGrpSpPr>
      <xdr:grpSpPr>
        <a:xfrm>
          <a:off x="819147" y="13833282"/>
          <a:ext cx="8727803" cy="3980272"/>
          <a:chOff x="828672" y="11543474"/>
          <a:chExt cx="8731629" cy="3996072"/>
        </a:xfrm>
      </xdr:grpSpPr>
      <xdr:sp macro="" textlink="">
        <xdr:nvSpPr>
          <xdr:cNvPr id="4" name="Arc 3">
            <a:extLst>
              <a:ext uri="{FF2B5EF4-FFF2-40B4-BE49-F238E27FC236}">
                <a16:creationId xmlns:a16="http://schemas.microsoft.com/office/drawing/2014/main" id="{20B06F8C-FE23-4D93-9EAD-455287A207D7}"/>
              </a:ext>
            </a:extLst>
          </xdr:cNvPr>
          <xdr:cNvSpPr/>
        </xdr:nvSpPr>
        <xdr:spPr>
          <a:xfrm rot="10800000" flipV="1">
            <a:off x="828672" y="11543474"/>
            <a:ext cx="4861366" cy="2353088"/>
          </a:xfrm>
          <a:prstGeom prst="arc">
            <a:avLst>
              <a:gd name="adj1" fmla="val 10839347"/>
              <a:gd name="adj2" fmla="val 0"/>
            </a:avLst>
          </a:prstGeom>
          <a:ln w="57150">
            <a:gradFill flip="none" rotWithShape="1">
              <a:gsLst>
                <a:gs pos="0">
                  <a:srgbClr val="3673EE"/>
                </a:gs>
                <a:gs pos="100000">
                  <a:srgbClr val="70AD47"/>
                </a:gs>
              </a:gsLst>
              <a:lin ang="10800000" scaled="1"/>
              <a:tileRect/>
            </a:gradFill>
            <a:headEnd type="triangle" w="lg" len="lg"/>
            <a:tailEnd type="none" w="lg" len="lg"/>
            <a:extLst>
              <a:ext uri="{C807C97D-BFC1-408E-A445-0C87EB9F89A2}">
                <ask:lineSketchStyleProps xmlns:ask="http://schemas.microsoft.com/office/drawing/2018/sketchyshapes" sd="1219033472">
                  <a:custGeom>
                    <a:avLst/>
                    <a:gdLst>
                      <a:gd name="connsiteX0" fmla="*/ 128 w 3295650"/>
                      <a:gd name="connsiteY0" fmla="*/ 1495616 h 3028951"/>
                      <a:gd name="connsiteX1" fmla="*/ 1656492 w 3295650"/>
                      <a:gd name="connsiteY1" fmla="*/ 21 h 3028951"/>
                      <a:gd name="connsiteX2" fmla="*/ 3295650 w 3295650"/>
                      <a:gd name="connsiteY2" fmla="*/ 1514477 h 3028951"/>
                      <a:gd name="connsiteX3" fmla="*/ 2713419 w 3295650"/>
                      <a:gd name="connsiteY3" fmla="*/ 1514477 h 3028951"/>
                      <a:gd name="connsiteX4" fmla="*/ 2164144 w 3295650"/>
                      <a:gd name="connsiteY4" fmla="*/ 1514476 h 3028951"/>
                      <a:gd name="connsiteX5" fmla="*/ 1647825 w 3295650"/>
                      <a:gd name="connsiteY5" fmla="*/ 1514476 h 3028951"/>
                      <a:gd name="connsiteX6" fmla="*/ 1131547 w 3295650"/>
                      <a:gd name="connsiteY6" fmla="*/ 1508567 h 3028951"/>
                      <a:gd name="connsiteX7" fmla="*/ 615268 w 3295650"/>
                      <a:gd name="connsiteY7" fmla="*/ 1502657 h 3028951"/>
                      <a:gd name="connsiteX8" fmla="*/ 128 w 3295650"/>
                      <a:gd name="connsiteY8" fmla="*/ 1495616 h 3028951"/>
                      <a:gd name="connsiteX0" fmla="*/ 128 w 3295650"/>
                      <a:gd name="connsiteY0" fmla="*/ 1495616 h 3028951"/>
                      <a:gd name="connsiteX1" fmla="*/ 1656492 w 3295650"/>
                      <a:gd name="connsiteY1" fmla="*/ 21 h 3028951"/>
                      <a:gd name="connsiteX2" fmla="*/ 3295650 w 3295650"/>
                      <a:gd name="connsiteY2" fmla="*/ 1514477 h 3028951"/>
                    </a:gdLst>
                    <a:ahLst/>
                    <a:cxnLst>
                      <a:cxn ang="0">
                        <a:pos x="connsiteX0" y="connsiteY0"/>
                      </a:cxn>
                      <a:cxn ang="0">
                        <a:pos x="connsiteX1" y="connsiteY1"/>
                      </a:cxn>
                      <a:cxn ang="0">
                        <a:pos x="connsiteX2" y="connsiteY2"/>
                      </a:cxn>
                    </a:cxnLst>
                    <a:rect l="l" t="t" r="r" b="b"/>
                    <a:pathLst>
                      <a:path w="3295650" h="3028951" stroke="0" extrusionOk="0">
                        <a:moveTo>
                          <a:pt x="128" y="1495616"/>
                        </a:moveTo>
                        <a:cubicBezTo>
                          <a:pt x="-99520" y="595090"/>
                          <a:pt x="697282" y="15829"/>
                          <a:pt x="1656492" y="21"/>
                        </a:cubicBezTo>
                        <a:cubicBezTo>
                          <a:pt x="2729919" y="39510"/>
                          <a:pt x="3176871" y="684941"/>
                          <a:pt x="3295650" y="1514477"/>
                        </a:cubicBezTo>
                        <a:cubicBezTo>
                          <a:pt x="3099643" y="1566306"/>
                          <a:pt x="2996621" y="1473387"/>
                          <a:pt x="2713419" y="1514477"/>
                        </a:cubicBezTo>
                        <a:cubicBezTo>
                          <a:pt x="2430217" y="1555567"/>
                          <a:pt x="2375461" y="1458891"/>
                          <a:pt x="2164144" y="1514476"/>
                        </a:cubicBezTo>
                        <a:cubicBezTo>
                          <a:pt x="1952827" y="1570061"/>
                          <a:pt x="1799257" y="1477038"/>
                          <a:pt x="1647825" y="1514476"/>
                        </a:cubicBezTo>
                        <a:cubicBezTo>
                          <a:pt x="1405495" y="1539065"/>
                          <a:pt x="1302102" y="1507729"/>
                          <a:pt x="1131547" y="1508567"/>
                        </a:cubicBezTo>
                        <a:cubicBezTo>
                          <a:pt x="960992" y="1509404"/>
                          <a:pt x="770366" y="1467803"/>
                          <a:pt x="615268" y="1502657"/>
                        </a:cubicBezTo>
                        <a:cubicBezTo>
                          <a:pt x="460170" y="1537511"/>
                          <a:pt x="289928" y="1482163"/>
                          <a:pt x="128" y="1495616"/>
                        </a:cubicBezTo>
                        <a:close/>
                      </a:path>
                      <a:path w="3295650" h="3028951" fill="none" extrusionOk="0">
                        <a:moveTo>
                          <a:pt x="128" y="1495616"/>
                        </a:moveTo>
                        <a:cubicBezTo>
                          <a:pt x="208844" y="710982"/>
                          <a:pt x="644582" y="-21578"/>
                          <a:pt x="1656492" y="21"/>
                        </a:cubicBezTo>
                        <a:cubicBezTo>
                          <a:pt x="2731945" y="142435"/>
                          <a:pt x="3347277" y="758015"/>
                          <a:pt x="3295650" y="1514477"/>
                        </a:cubicBezTo>
                      </a:path>
                    </a:pathLst>
                  </a:custGeom>
                  <ask:type>
                    <ask:lineSketchNone/>
                  </ask:type>
                </ask:lineSketchStyleProps>
              </a:ext>
            </a:extLst>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a:p>
        </xdr:txBody>
      </xdr:sp>
      <xdr:sp macro="" textlink="">
        <xdr:nvSpPr>
          <xdr:cNvPr id="6" name="Arc 5">
            <a:extLst>
              <a:ext uri="{FF2B5EF4-FFF2-40B4-BE49-F238E27FC236}">
                <a16:creationId xmlns:a16="http://schemas.microsoft.com/office/drawing/2014/main" id="{13512A77-1E8A-6C16-D061-8547B596A48F}"/>
              </a:ext>
            </a:extLst>
          </xdr:cNvPr>
          <xdr:cNvSpPr/>
        </xdr:nvSpPr>
        <xdr:spPr>
          <a:xfrm rot="10800000" flipV="1">
            <a:off x="1503755" y="11543474"/>
            <a:ext cx="4822158" cy="2353088"/>
          </a:xfrm>
          <a:prstGeom prst="arc">
            <a:avLst>
              <a:gd name="adj1" fmla="val 10839347"/>
              <a:gd name="adj2" fmla="val 0"/>
            </a:avLst>
          </a:prstGeom>
          <a:ln w="57150">
            <a:gradFill flip="none" rotWithShape="1">
              <a:gsLst>
                <a:gs pos="0">
                  <a:srgbClr val="3673EE"/>
                </a:gs>
                <a:gs pos="100000">
                  <a:srgbClr val="70AD47"/>
                </a:gs>
              </a:gsLst>
              <a:lin ang="10800000" scaled="1"/>
              <a:tileRect/>
            </a:gradFill>
            <a:headEnd type="triangle" w="lg" len="lg"/>
            <a:tailEnd type="none" w="lg" len="lg"/>
            <a:extLst>
              <a:ext uri="{C807C97D-BFC1-408E-A445-0C87EB9F89A2}">
                <ask:lineSketchStyleProps xmlns:ask="http://schemas.microsoft.com/office/drawing/2018/sketchyshapes" sd="1219033472">
                  <a:custGeom>
                    <a:avLst/>
                    <a:gdLst>
                      <a:gd name="connsiteX0" fmla="*/ 128 w 3295650"/>
                      <a:gd name="connsiteY0" fmla="*/ 1495616 h 3028951"/>
                      <a:gd name="connsiteX1" fmla="*/ 1656492 w 3295650"/>
                      <a:gd name="connsiteY1" fmla="*/ 21 h 3028951"/>
                      <a:gd name="connsiteX2" fmla="*/ 3295650 w 3295650"/>
                      <a:gd name="connsiteY2" fmla="*/ 1514477 h 3028951"/>
                      <a:gd name="connsiteX3" fmla="*/ 2713419 w 3295650"/>
                      <a:gd name="connsiteY3" fmla="*/ 1514477 h 3028951"/>
                      <a:gd name="connsiteX4" fmla="*/ 2164144 w 3295650"/>
                      <a:gd name="connsiteY4" fmla="*/ 1514476 h 3028951"/>
                      <a:gd name="connsiteX5" fmla="*/ 1647825 w 3295650"/>
                      <a:gd name="connsiteY5" fmla="*/ 1514476 h 3028951"/>
                      <a:gd name="connsiteX6" fmla="*/ 1131547 w 3295650"/>
                      <a:gd name="connsiteY6" fmla="*/ 1508567 h 3028951"/>
                      <a:gd name="connsiteX7" fmla="*/ 615268 w 3295650"/>
                      <a:gd name="connsiteY7" fmla="*/ 1502657 h 3028951"/>
                      <a:gd name="connsiteX8" fmla="*/ 128 w 3295650"/>
                      <a:gd name="connsiteY8" fmla="*/ 1495616 h 3028951"/>
                      <a:gd name="connsiteX0" fmla="*/ 128 w 3295650"/>
                      <a:gd name="connsiteY0" fmla="*/ 1495616 h 3028951"/>
                      <a:gd name="connsiteX1" fmla="*/ 1656492 w 3295650"/>
                      <a:gd name="connsiteY1" fmla="*/ 21 h 3028951"/>
                      <a:gd name="connsiteX2" fmla="*/ 3295650 w 3295650"/>
                      <a:gd name="connsiteY2" fmla="*/ 1514477 h 3028951"/>
                    </a:gdLst>
                    <a:ahLst/>
                    <a:cxnLst>
                      <a:cxn ang="0">
                        <a:pos x="connsiteX0" y="connsiteY0"/>
                      </a:cxn>
                      <a:cxn ang="0">
                        <a:pos x="connsiteX1" y="connsiteY1"/>
                      </a:cxn>
                      <a:cxn ang="0">
                        <a:pos x="connsiteX2" y="connsiteY2"/>
                      </a:cxn>
                    </a:cxnLst>
                    <a:rect l="l" t="t" r="r" b="b"/>
                    <a:pathLst>
                      <a:path w="3295650" h="3028951" stroke="0" extrusionOk="0">
                        <a:moveTo>
                          <a:pt x="128" y="1495616"/>
                        </a:moveTo>
                        <a:cubicBezTo>
                          <a:pt x="-99520" y="595090"/>
                          <a:pt x="697282" y="15829"/>
                          <a:pt x="1656492" y="21"/>
                        </a:cubicBezTo>
                        <a:cubicBezTo>
                          <a:pt x="2729919" y="39510"/>
                          <a:pt x="3176871" y="684941"/>
                          <a:pt x="3295650" y="1514477"/>
                        </a:cubicBezTo>
                        <a:cubicBezTo>
                          <a:pt x="3099643" y="1566306"/>
                          <a:pt x="2996621" y="1473387"/>
                          <a:pt x="2713419" y="1514477"/>
                        </a:cubicBezTo>
                        <a:cubicBezTo>
                          <a:pt x="2430217" y="1555567"/>
                          <a:pt x="2375461" y="1458891"/>
                          <a:pt x="2164144" y="1514476"/>
                        </a:cubicBezTo>
                        <a:cubicBezTo>
                          <a:pt x="1952827" y="1570061"/>
                          <a:pt x="1799257" y="1477038"/>
                          <a:pt x="1647825" y="1514476"/>
                        </a:cubicBezTo>
                        <a:cubicBezTo>
                          <a:pt x="1405495" y="1539065"/>
                          <a:pt x="1302102" y="1507729"/>
                          <a:pt x="1131547" y="1508567"/>
                        </a:cubicBezTo>
                        <a:cubicBezTo>
                          <a:pt x="960992" y="1509404"/>
                          <a:pt x="770366" y="1467803"/>
                          <a:pt x="615268" y="1502657"/>
                        </a:cubicBezTo>
                        <a:cubicBezTo>
                          <a:pt x="460170" y="1537511"/>
                          <a:pt x="289928" y="1482163"/>
                          <a:pt x="128" y="1495616"/>
                        </a:cubicBezTo>
                        <a:close/>
                      </a:path>
                      <a:path w="3295650" h="3028951" fill="none" extrusionOk="0">
                        <a:moveTo>
                          <a:pt x="128" y="1495616"/>
                        </a:moveTo>
                        <a:cubicBezTo>
                          <a:pt x="208844" y="710982"/>
                          <a:pt x="644582" y="-21578"/>
                          <a:pt x="1656492" y="21"/>
                        </a:cubicBezTo>
                        <a:cubicBezTo>
                          <a:pt x="2731945" y="142435"/>
                          <a:pt x="3347277" y="758015"/>
                          <a:pt x="3295650" y="1514477"/>
                        </a:cubicBezTo>
                      </a:path>
                    </a:pathLst>
                  </a:custGeom>
                  <ask:type>
                    <ask:lineSketchNone/>
                  </ask:type>
                </ask:lineSketchStyleProps>
              </a:ext>
            </a:extLst>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a:p>
        </xdr:txBody>
      </xdr:sp>
      <xdr:sp macro="" textlink="">
        <xdr:nvSpPr>
          <xdr:cNvPr id="7" name="Arc 6">
            <a:extLst>
              <a:ext uri="{FF2B5EF4-FFF2-40B4-BE49-F238E27FC236}">
                <a16:creationId xmlns:a16="http://schemas.microsoft.com/office/drawing/2014/main" id="{CE49E3AF-13E3-B087-603E-93C09FDBCF5E}"/>
              </a:ext>
            </a:extLst>
          </xdr:cNvPr>
          <xdr:cNvSpPr/>
        </xdr:nvSpPr>
        <xdr:spPr>
          <a:xfrm rot="10800000">
            <a:off x="3328982" y="13865101"/>
            <a:ext cx="3109918" cy="1674445"/>
          </a:xfrm>
          <a:custGeom>
            <a:avLst/>
            <a:gdLst>
              <a:gd name="connsiteX0" fmla="*/ 114 w 2548441"/>
              <a:gd name="connsiteY0" fmla="*/ 1077064 h 2183296"/>
              <a:gd name="connsiteX1" fmla="*/ 879626 w 2548441"/>
              <a:gd name="connsiteY1" fmla="*/ 53662 h 2183296"/>
              <a:gd name="connsiteX2" fmla="*/ 2147942 w 2548441"/>
              <a:gd name="connsiteY2" fmla="*/ 297044 h 2183296"/>
              <a:gd name="connsiteX3" fmla="*/ 2378617 w 2548441"/>
              <a:gd name="connsiteY3" fmla="*/ 1636151 h 2183296"/>
              <a:gd name="connsiteX4" fmla="*/ 1274221 w 2548441"/>
              <a:gd name="connsiteY4" fmla="*/ 1091648 h 2183296"/>
              <a:gd name="connsiteX5" fmla="*/ 114 w 2548441"/>
              <a:gd name="connsiteY5" fmla="*/ 1077064 h 2183296"/>
              <a:gd name="connsiteX0" fmla="*/ 114 w 2548441"/>
              <a:gd name="connsiteY0" fmla="*/ 1077064 h 2183296"/>
              <a:gd name="connsiteX1" fmla="*/ 879626 w 2548441"/>
              <a:gd name="connsiteY1" fmla="*/ 53662 h 2183296"/>
              <a:gd name="connsiteX2" fmla="*/ 2147942 w 2548441"/>
              <a:gd name="connsiteY2" fmla="*/ 297044 h 2183296"/>
              <a:gd name="connsiteX3" fmla="*/ 2378617 w 2548441"/>
              <a:gd name="connsiteY3" fmla="*/ 1636151 h 2183296"/>
              <a:gd name="connsiteX0" fmla="*/ 0 w 2659192"/>
              <a:gd name="connsiteY0" fmla="*/ 1077088 h 1668833"/>
              <a:gd name="connsiteX1" fmla="*/ 879512 w 2659192"/>
              <a:gd name="connsiteY1" fmla="*/ 53686 h 1668833"/>
              <a:gd name="connsiteX2" fmla="*/ 2147828 w 2659192"/>
              <a:gd name="connsiteY2" fmla="*/ 297068 h 1668833"/>
              <a:gd name="connsiteX3" fmla="*/ 2378503 w 2659192"/>
              <a:gd name="connsiteY3" fmla="*/ 1636175 h 1668833"/>
              <a:gd name="connsiteX4" fmla="*/ 1274107 w 2659192"/>
              <a:gd name="connsiteY4" fmla="*/ 1091672 h 1668833"/>
              <a:gd name="connsiteX5" fmla="*/ 0 w 2659192"/>
              <a:gd name="connsiteY5" fmla="*/ 1077088 h 1668833"/>
              <a:gd name="connsiteX0" fmla="*/ 0 w 2659192"/>
              <a:gd name="connsiteY0" fmla="*/ 1077088 h 1668833"/>
              <a:gd name="connsiteX1" fmla="*/ 879512 w 2659192"/>
              <a:gd name="connsiteY1" fmla="*/ 53686 h 1668833"/>
              <a:gd name="connsiteX2" fmla="*/ 2147828 w 2659192"/>
              <a:gd name="connsiteY2" fmla="*/ 297068 h 1668833"/>
              <a:gd name="connsiteX3" fmla="*/ 2530903 w 2659192"/>
              <a:gd name="connsiteY3" fmla="*/ 1668833 h 1668833"/>
              <a:gd name="connsiteX0" fmla="*/ 0 w 2559261"/>
              <a:gd name="connsiteY0" fmla="*/ 1077088 h 1668833"/>
              <a:gd name="connsiteX1" fmla="*/ 879512 w 2559261"/>
              <a:gd name="connsiteY1" fmla="*/ 53686 h 1668833"/>
              <a:gd name="connsiteX2" fmla="*/ 2147828 w 2559261"/>
              <a:gd name="connsiteY2" fmla="*/ 297068 h 1668833"/>
              <a:gd name="connsiteX3" fmla="*/ 2378503 w 2559261"/>
              <a:gd name="connsiteY3" fmla="*/ 1636175 h 1668833"/>
              <a:gd name="connsiteX4" fmla="*/ 1274107 w 2559261"/>
              <a:gd name="connsiteY4" fmla="*/ 1091672 h 1668833"/>
              <a:gd name="connsiteX5" fmla="*/ 0 w 2559261"/>
              <a:gd name="connsiteY5" fmla="*/ 1077088 h 1668833"/>
              <a:gd name="connsiteX0" fmla="*/ 0 w 2559261"/>
              <a:gd name="connsiteY0" fmla="*/ 1077088 h 1668833"/>
              <a:gd name="connsiteX1" fmla="*/ 879512 w 2559261"/>
              <a:gd name="connsiteY1" fmla="*/ 53686 h 1668833"/>
              <a:gd name="connsiteX2" fmla="*/ 2147828 w 2559261"/>
              <a:gd name="connsiteY2" fmla="*/ 297068 h 1668833"/>
              <a:gd name="connsiteX3" fmla="*/ 2530903 w 2559261"/>
              <a:gd name="connsiteY3" fmla="*/ 1668833 h 1668833"/>
              <a:gd name="connsiteX0" fmla="*/ 0 w 2554634"/>
              <a:gd name="connsiteY0" fmla="*/ 1077088 h 1668833"/>
              <a:gd name="connsiteX1" fmla="*/ 879512 w 2554634"/>
              <a:gd name="connsiteY1" fmla="*/ 53686 h 1668833"/>
              <a:gd name="connsiteX2" fmla="*/ 2147828 w 2554634"/>
              <a:gd name="connsiteY2" fmla="*/ 297068 h 1668833"/>
              <a:gd name="connsiteX3" fmla="*/ 2378503 w 2554634"/>
              <a:gd name="connsiteY3" fmla="*/ 1636175 h 1668833"/>
              <a:gd name="connsiteX4" fmla="*/ 1274107 w 2554634"/>
              <a:gd name="connsiteY4" fmla="*/ 1091672 h 1668833"/>
              <a:gd name="connsiteX5" fmla="*/ 0 w 2554634"/>
              <a:gd name="connsiteY5" fmla="*/ 1077088 h 1668833"/>
              <a:gd name="connsiteX0" fmla="*/ 0 w 2554634"/>
              <a:gd name="connsiteY0" fmla="*/ 1077088 h 1668833"/>
              <a:gd name="connsiteX1" fmla="*/ 879512 w 2554634"/>
              <a:gd name="connsiteY1" fmla="*/ 53686 h 1668833"/>
              <a:gd name="connsiteX2" fmla="*/ 2147828 w 2554634"/>
              <a:gd name="connsiteY2" fmla="*/ 297068 h 1668833"/>
              <a:gd name="connsiteX3" fmla="*/ 2530903 w 2554634"/>
              <a:gd name="connsiteY3" fmla="*/ 1668833 h 1668833"/>
              <a:gd name="connsiteX0" fmla="*/ 22004 w 2576638"/>
              <a:gd name="connsiteY0" fmla="*/ 1082700 h 1674445"/>
              <a:gd name="connsiteX1" fmla="*/ 901516 w 2576638"/>
              <a:gd name="connsiteY1" fmla="*/ 59298 h 1674445"/>
              <a:gd name="connsiteX2" fmla="*/ 2169832 w 2576638"/>
              <a:gd name="connsiteY2" fmla="*/ 302680 h 1674445"/>
              <a:gd name="connsiteX3" fmla="*/ 2400507 w 2576638"/>
              <a:gd name="connsiteY3" fmla="*/ 1641787 h 1674445"/>
              <a:gd name="connsiteX4" fmla="*/ 1296111 w 2576638"/>
              <a:gd name="connsiteY4" fmla="*/ 1097284 h 1674445"/>
              <a:gd name="connsiteX5" fmla="*/ 22004 w 2576638"/>
              <a:gd name="connsiteY5" fmla="*/ 1082700 h 1674445"/>
              <a:gd name="connsiteX0" fmla="*/ 0 w 2576638"/>
              <a:gd name="connsiteY0" fmla="*/ 1120800 h 1674445"/>
              <a:gd name="connsiteX1" fmla="*/ 901516 w 2576638"/>
              <a:gd name="connsiteY1" fmla="*/ 59298 h 1674445"/>
              <a:gd name="connsiteX2" fmla="*/ 2169832 w 2576638"/>
              <a:gd name="connsiteY2" fmla="*/ 302680 h 1674445"/>
              <a:gd name="connsiteX3" fmla="*/ 2552907 w 2576638"/>
              <a:gd name="connsiteY3" fmla="*/ 1674445 h 1674445"/>
            </a:gdLst>
            <a:ahLst/>
            <a:cxnLst>
              <a:cxn ang="0">
                <a:pos x="connsiteX0" y="connsiteY0"/>
              </a:cxn>
              <a:cxn ang="0">
                <a:pos x="connsiteX1" y="connsiteY1"/>
              </a:cxn>
              <a:cxn ang="0">
                <a:pos x="connsiteX2" y="connsiteY2"/>
              </a:cxn>
              <a:cxn ang="0">
                <a:pos x="connsiteX3" y="connsiteY3"/>
              </a:cxn>
            </a:cxnLst>
            <a:rect l="l" t="t" r="r" b="b"/>
            <a:pathLst>
              <a:path w="2576638" h="1674445" stroke="0" extrusionOk="0">
                <a:moveTo>
                  <a:pt x="22004" y="1082700"/>
                </a:moveTo>
                <a:cubicBezTo>
                  <a:pt x="29291" y="615458"/>
                  <a:pt x="382894" y="204005"/>
                  <a:pt x="901516" y="59298"/>
                </a:cubicBezTo>
                <a:cubicBezTo>
                  <a:pt x="1344434" y="-64285"/>
                  <a:pt x="1830768" y="29039"/>
                  <a:pt x="2169832" y="302680"/>
                </a:cubicBezTo>
                <a:cubicBezTo>
                  <a:pt x="2599456" y="649406"/>
                  <a:pt x="2694908" y="1203520"/>
                  <a:pt x="2400507" y="1641787"/>
                </a:cubicBezTo>
                <a:lnTo>
                  <a:pt x="1296111" y="1097284"/>
                </a:lnTo>
                <a:lnTo>
                  <a:pt x="22004" y="1082700"/>
                </a:lnTo>
                <a:close/>
              </a:path>
              <a:path w="2576638" h="1674445" fill="none">
                <a:moveTo>
                  <a:pt x="0" y="1120800"/>
                </a:moveTo>
                <a:cubicBezTo>
                  <a:pt x="7287" y="653558"/>
                  <a:pt x="539877" y="195651"/>
                  <a:pt x="901516" y="59298"/>
                </a:cubicBezTo>
                <a:cubicBezTo>
                  <a:pt x="1263155" y="-77055"/>
                  <a:pt x="1830768" y="29039"/>
                  <a:pt x="2169832" y="302680"/>
                </a:cubicBezTo>
                <a:cubicBezTo>
                  <a:pt x="2599456" y="649406"/>
                  <a:pt x="2607822" y="1317821"/>
                  <a:pt x="2552907" y="1674445"/>
                </a:cubicBezTo>
              </a:path>
            </a:pathLst>
          </a:custGeom>
          <a:ln w="57150">
            <a:gradFill flip="none" rotWithShape="1">
              <a:gsLst>
                <a:gs pos="0">
                  <a:srgbClr val="ED7D31"/>
                </a:gs>
                <a:gs pos="100000">
                  <a:srgbClr val="70AD47"/>
                </a:gs>
              </a:gsLst>
              <a:lin ang="10800000" scaled="1"/>
              <a:tileRect/>
            </a:gradFill>
            <a:headEnd type="triangle" w="lg" len="lg"/>
            <a:tailEnd type="none" w="lg" len="lg"/>
            <a:extLst>
              <a:ext uri="{C807C97D-BFC1-408E-A445-0C87EB9F89A2}">
                <ask:lineSketchStyleProps xmlns:ask="http://schemas.microsoft.com/office/drawing/2018/sketchyshapes" sd="1219033472">
                  <a:custGeom>
                    <a:avLst/>
                    <a:gdLst>
                      <a:gd name="connsiteX0" fmla="*/ 128 w 3295650"/>
                      <a:gd name="connsiteY0" fmla="*/ 1495616 h 3028951"/>
                      <a:gd name="connsiteX1" fmla="*/ 1656492 w 3295650"/>
                      <a:gd name="connsiteY1" fmla="*/ 21 h 3028951"/>
                      <a:gd name="connsiteX2" fmla="*/ 3295650 w 3295650"/>
                      <a:gd name="connsiteY2" fmla="*/ 1514477 h 3028951"/>
                      <a:gd name="connsiteX3" fmla="*/ 2713419 w 3295650"/>
                      <a:gd name="connsiteY3" fmla="*/ 1514477 h 3028951"/>
                      <a:gd name="connsiteX4" fmla="*/ 2164144 w 3295650"/>
                      <a:gd name="connsiteY4" fmla="*/ 1514476 h 3028951"/>
                      <a:gd name="connsiteX5" fmla="*/ 1647825 w 3295650"/>
                      <a:gd name="connsiteY5" fmla="*/ 1514476 h 3028951"/>
                      <a:gd name="connsiteX6" fmla="*/ 1131547 w 3295650"/>
                      <a:gd name="connsiteY6" fmla="*/ 1508567 h 3028951"/>
                      <a:gd name="connsiteX7" fmla="*/ 615268 w 3295650"/>
                      <a:gd name="connsiteY7" fmla="*/ 1502657 h 3028951"/>
                      <a:gd name="connsiteX8" fmla="*/ 128 w 3295650"/>
                      <a:gd name="connsiteY8" fmla="*/ 1495616 h 3028951"/>
                      <a:gd name="connsiteX0" fmla="*/ 128 w 3295650"/>
                      <a:gd name="connsiteY0" fmla="*/ 1495616 h 3028951"/>
                      <a:gd name="connsiteX1" fmla="*/ 1656492 w 3295650"/>
                      <a:gd name="connsiteY1" fmla="*/ 21 h 3028951"/>
                      <a:gd name="connsiteX2" fmla="*/ 3295650 w 3295650"/>
                      <a:gd name="connsiteY2" fmla="*/ 1514477 h 3028951"/>
                    </a:gdLst>
                    <a:ahLst/>
                    <a:cxnLst>
                      <a:cxn ang="0">
                        <a:pos x="connsiteX0" y="connsiteY0"/>
                      </a:cxn>
                      <a:cxn ang="0">
                        <a:pos x="connsiteX1" y="connsiteY1"/>
                      </a:cxn>
                      <a:cxn ang="0">
                        <a:pos x="connsiteX2" y="connsiteY2"/>
                      </a:cxn>
                    </a:cxnLst>
                    <a:rect l="l" t="t" r="r" b="b"/>
                    <a:pathLst>
                      <a:path w="3295650" h="3028951" stroke="0" extrusionOk="0">
                        <a:moveTo>
                          <a:pt x="128" y="1495616"/>
                        </a:moveTo>
                        <a:cubicBezTo>
                          <a:pt x="-99520" y="595090"/>
                          <a:pt x="697282" y="15829"/>
                          <a:pt x="1656492" y="21"/>
                        </a:cubicBezTo>
                        <a:cubicBezTo>
                          <a:pt x="2729919" y="39510"/>
                          <a:pt x="3176871" y="684941"/>
                          <a:pt x="3295650" y="1514477"/>
                        </a:cubicBezTo>
                        <a:cubicBezTo>
                          <a:pt x="3099643" y="1566306"/>
                          <a:pt x="2996621" y="1473387"/>
                          <a:pt x="2713419" y="1514477"/>
                        </a:cubicBezTo>
                        <a:cubicBezTo>
                          <a:pt x="2430217" y="1555567"/>
                          <a:pt x="2375461" y="1458891"/>
                          <a:pt x="2164144" y="1514476"/>
                        </a:cubicBezTo>
                        <a:cubicBezTo>
                          <a:pt x="1952827" y="1570061"/>
                          <a:pt x="1799257" y="1477038"/>
                          <a:pt x="1647825" y="1514476"/>
                        </a:cubicBezTo>
                        <a:cubicBezTo>
                          <a:pt x="1405495" y="1539065"/>
                          <a:pt x="1302102" y="1507729"/>
                          <a:pt x="1131547" y="1508567"/>
                        </a:cubicBezTo>
                        <a:cubicBezTo>
                          <a:pt x="960992" y="1509404"/>
                          <a:pt x="770366" y="1467803"/>
                          <a:pt x="615268" y="1502657"/>
                        </a:cubicBezTo>
                        <a:cubicBezTo>
                          <a:pt x="460170" y="1537511"/>
                          <a:pt x="289928" y="1482163"/>
                          <a:pt x="128" y="1495616"/>
                        </a:cubicBezTo>
                        <a:close/>
                      </a:path>
                      <a:path w="3295650" h="3028951" fill="none" extrusionOk="0">
                        <a:moveTo>
                          <a:pt x="128" y="1495616"/>
                        </a:moveTo>
                        <a:cubicBezTo>
                          <a:pt x="208844" y="710982"/>
                          <a:pt x="644582" y="-21578"/>
                          <a:pt x="1656492" y="21"/>
                        </a:cubicBezTo>
                        <a:cubicBezTo>
                          <a:pt x="2731945" y="142435"/>
                          <a:pt x="3347277" y="758015"/>
                          <a:pt x="3295650" y="1514477"/>
                        </a:cubicBezTo>
                      </a:path>
                    </a:pathLst>
                  </a:custGeom>
                  <ask:type>
                    <ask:lineSketchNone/>
                  </ask:type>
                </ask:lineSketchStyleProps>
              </a:ext>
            </a:extLst>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a:p>
        </xdr:txBody>
      </xdr:sp>
      <xdr:sp macro="" textlink="">
        <xdr:nvSpPr>
          <xdr:cNvPr id="8" name="Arc 6">
            <a:extLst>
              <a:ext uri="{FF2B5EF4-FFF2-40B4-BE49-F238E27FC236}">
                <a16:creationId xmlns:a16="http://schemas.microsoft.com/office/drawing/2014/main" id="{E33E6A6D-F68E-F923-DDB8-6E5302710A40}"/>
              </a:ext>
            </a:extLst>
          </xdr:cNvPr>
          <xdr:cNvSpPr/>
        </xdr:nvSpPr>
        <xdr:spPr>
          <a:xfrm rot="10800000">
            <a:off x="3884151" y="13865102"/>
            <a:ext cx="1821323" cy="1191202"/>
          </a:xfrm>
          <a:custGeom>
            <a:avLst/>
            <a:gdLst>
              <a:gd name="connsiteX0" fmla="*/ 114 w 2548441"/>
              <a:gd name="connsiteY0" fmla="*/ 1077064 h 2183296"/>
              <a:gd name="connsiteX1" fmla="*/ 879626 w 2548441"/>
              <a:gd name="connsiteY1" fmla="*/ 53662 h 2183296"/>
              <a:gd name="connsiteX2" fmla="*/ 2147942 w 2548441"/>
              <a:gd name="connsiteY2" fmla="*/ 297044 h 2183296"/>
              <a:gd name="connsiteX3" fmla="*/ 2378617 w 2548441"/>
              <a:gd name="connsiteY3" fmla="*/ 1636151 h 2183296"/>
              <a:gd name="connsiteX4" fmla="*/ 1274221 w 2548441"/>
              <a:gd name="connsiteY4" fmla="*/ 1091648 h 2183296"/>
              <a:gd name="connsiteX5" fmla="*/ 114 w 2548441"/>
              <a:gd name="connsiteY5" fmla="*/ 1077064 h 2183296"/>
              <a:gd name="connsiteX0" fmla="*/ 114 w 2548441"/>
              <a:gd name="connsiteY0" fmla="*/ 1077064 h 2183296"/>
              <a:gd name="connsiteX1" fmla="*/ 879626 w 2548441"/>
              <a:gd name="connsiteY1" fmla="*/ 53662 h 2183296"/>
              <a:gd name="connsiteX2" fmla="*/ 2147942 w 2548441"/>
              <a:gd name="connsiteY2" fmla="*/ 297044 h 2183296"/>
              <a:gd name="connsiteX3" fmla="*/ 2378617 w 2548441"/>
              <a:gd name="connsiteY3" fmla="*/ 1636151 h 2183296"/>
              <a:gd name="connsiteX0" fmla="*/ 0 w 2659192"/>
              <a:gd name="connsiteY0" fmla="*/ 1077088 h 1668833"/>
              <a:gd name="connsiteX1" fmla="*/ 879512 w 2659192"/>
              <a:gd name="connsiteY1" fmla="*/ 53686 h 1668833"/>
              <a:gd name="connsiteX2" fmla="*/ 2147828 w 2659192"/>
              <a:gd name="connsiteY2" fmla="*/ 297068 h 1668833"/>
              <a:gd name="connsiteX3" fmla="*/ 2378503 w 2659192"/>
              <a:gd name="connsiteY3" fmla="*/ 1636175 h 1668833"/>
              <a:gd name="connsiteX4" fmla="*/ 1274107 w 2659192"/>
              <a:gd name="connsiteY4" fmla="*/ 1091672 h 1668833"/>
              <a:gd name="connsiteX5" fmla="*/ 0 w 2659192"/>
              <a:gd name="connsiteY5" fmla="*/ 1077088 h 1668833"/>
              <a:gd name="connsiteX0" fmla="*/ 0 w 2659192"/>
              <a:gd name="connsiteY0" fmla="*/ 1077088 h 1668833"/>
              <a:gd name="connsiteX1" fmla="*/ 879512 w 2659192"/>
              <a:gd name="connsiteY1" fmla="*/ 53686 h 1668833"/>
              <a:gd name="connsiteX2" fmla="*/ 2147828 w 2659192"/>
              <a:gd name="connsiteY2" fmla="*/ 297068 h 1668833"/>
              <a:gd name="connsiteX3" fmla="*/ 2530903 w 2659192"/>
              <a:gd name="connsiteY3" fmla="*/ 1668833 h 1668833"/>
              <a:gd name="connsiteX0" fmla="*/ 0 w 2559261"/>
              <a:gd name="connsiteY0" fmla="*/ 1077088 h 1668833"/>
              <a:gd name="connsiteX1" fmla="*/ 879512 w 2559261"/>
              <a:gd name="connsiteY1" fmla="*/ 53686 h 1668833"/>
              <a:gd name="connsiteX2" fmla="*/ 2147828 w 2559261"/>
              <a:gd name="connsiteY2" fmla="*/ 297068 h 1668833"/>
              <a:gd name="connsiteX3" fmla="*/ 2378503 w 2559261"/>
              <a:gd name="connsiteY3" fmla="*/ 1636175 h 1668833"/>
              <a:gd name="connsiteX4" fmla="*/ 1274107 w 2559261"/>
              <a:gd name="connsiteY4" fmla="*/ 1091672 h 1668833"/>
              <a:gd name="connsiteX5" fmla="*/ 0 w 2559261"/>
              <a:gd name="connsiteY5" fmla="*/ 1077088 h 1668833"/>
              <a:gd name="connsiteX0" fmla="*/ 0 w 2559261"/>
              <a:gd name="connsiteY0" fmla="*/ 1077088 h 1668833"/>
              <a:gd name="connsiteX1" fmla="*/ 879512 w 2559261"/>
              <a:gd name="connsiteY1" fmla="*/ 53686 h 1668833"/>
              <a:gd name="connsiteX2" fmla="*/ 2147828 w 2559261"/>
              <a:gd name="connsiteY2" fmla="*/ 297068 h 1668833"/>
              <a:gd name="connsiteX3" fmla="*/ 2530903 w 2559261"/>
              <a:gd name="connsiteY3" fmla="*/ 1668833 h 1668833"/>
              <a:gd name="connsiteX0" fmla="*/ 0 w 2554634"/>
              <a:gd name="connsiteY0" fmla="*/ 1077088 h 1668833"/>
              <a:gd name="connsiteX1" fmla="*/ 879512 w 2554634"/>
              <a:gd name="connsiteY1" fmla="*/ 53686 h 1668833"/>
              <a:gd name="connsiteX2" fmla="*/ 2147828 w 2554634"/>
              <a:gd name="connsiteY2" fmla="*/ 297068 h 1668833"/>
              <a:gd name="connsiteX3" fmla="*/ 2378503 w 2554634"/>
              <a:gd name="connsiteY3" fmla="*/ 1636175 h 1668833"/>
              <a:gd name="connsiteX4" fmla="*/ 1274107 w 2554634"/>
              <a:gd name="connsiteY4" fmla="*/ 1091672 h 1668833"/>
              <a:gd name="connsiteX5" fmla="*/ 0 w 2554634"/>
              <a:gd name="connsiteY5" fmla="*/ 1077088 h 1668833"/>
              <a:gd name="connsiteX0" fmla="*/ 0 w 2554634"/>
              <a:gd name="connsiteY0" fmla="*/ 1077088 h 1668833"/>
              <a:gd name="connsiteX1" fmla="*/ 879512 w 2554634"/>
              <a:gd name="connsiteY1" fmla="*/ 53686 h 1668833"/>
              <a:gd name="connsiteX2" fmla="*/ 2147828 w 2554634"/>
              <a:gd name="connsiteY2" fmla="*/ 297068 h 1668833"/>
              <a:gd name="connsiteX3" fmla="*/ 2530903 w 2554634"/>
              <a:gd name="connsiteY3" fmla="*/ 1668833 h 1668833"/>
              <a:gd name="connsiteX0" fmla="*/ 0 w 2554634"/>
              <a:gd name="connsiteY0" fmla="*/ 1077088 h 1668833"/>
              <a:gd name="connsiteX1" fmla="*/ 879512 w 2554634"/>
              <a:gd name="connsiteY1" fmla="*/ 53686 h 1668833"/>
              <a:gd name="connsiteX2" fmla="*/ 2147828 w 2554634"/>
              <a:gd name="connsiteY2" fmla="*/ 297068 h 1668833"/>
              <a:gd name="connsiteX3" fmla="*/ 2378503 w 2554634"/>
              <a:gd name="connsiteY3" fmla="*/ 1636175 h 1668833"/>
              <a:gd name="connsiteX4" fmla="*/ 1274107 w 2554634"/>
              <a:gd name="connsiteY4" fmla="*/ 1091672 h 1668833"/>
              <a:gd name="connsiteX5" fmla="*/ 0 w 2554634"/>
              <a:gd name="connsiteY5" fmla="*/ 1077088 h 1668833"/>
              <a:gd name="connsiteX0" fmla="*/ 11592 w 2554634"/>
              <a:gd name="connsiteY0" fmla="*/ 924583 h 1668833"/>
              <a:gd name="connsiteX1" fmla="*/ 879512 w 2554634"/>
              <a:gd name="connsiteY1" fmla="*/ 53686 h 1668833"/>
              <a:gd name="connsiteX2" fmla="*/ 2147828 w 2554634"/>
              <a:gd name="connsiteY2" fmla="*/ 297068 h 1668833"/>
              <a:gd name="connsiteX3" fmla="*/ 2530903 w 2554634"/>
              <a:gd name="connsiteY3" fmla="*/ 1668833 h 1668833"/>
            </a:gdLst>
            <a:ahLst/>
            <a:cxnLst>
              <a:cxn ang="0">
                <a:pos x="connsiteX0" y="connsiteY0"/>
              </a:cxn>
              <a:cxn ang="0">
                <a:pos x="connsiteX1" y="connsiteY1"/>
              </a:cxn>
              <a:cxn ang="0">
                <a:pos x="connsiteX2" y="connsiteY2"/>
              </a:cxn>
              <a:cxn ang="0">
                <a:pos x="connsiteX3" y="connsiteY3"/>
              </a:cxn>
            </a:cxnLst>
            <a:rect l="l" t="t" r="r" b="b"/>
            <a:pathLst>
              <a:path w="2554634" h="1668833" stroke="0" extrusionOk="0">
                <a:moveTo>
                  <a:pt x="0" y="1077088"/>
                </a:moveTo>
                <a:cubicBezTo>
                  <a:pt x="7287" y="609846"/>
                  <a:pt x="360890" y="198393"/>
                  <a:pt x="879512" y="53686"/>
                </a:cubicBezTo>
                <a:cubicBezTo>
                  <a:pt x="1322430" y="-69897"/>
                  <a:pt x="1808764" y="23427"/>
                  <a:pt x="2147828" y="297068"/>
                </a:cubicBezTo>
                <a:cubicBezTo>
                  <a:pt x="2577452" y="643794"/>
                  <a:pt x="2672904" y="1197908"/>
                  <a:pt x="2378503" y="1636175"/>
                </a:cubicBezTo>
                <a:lnTo>
                  <a:pt x="1274107" y="1091672"/>
                </a:lnTo>
                <a:lnTo>
                  <a:pt x="0" y="1077088"/>
                </a:lnTo>
                <a:close/>
              </a:path>
              <a:path w="2554634" h="1668833" fill="none">
                <a:moveTo>
                  <a:pt x="11592" y="924583"/>
                </a:moveTo>
                <a:cubicBezTo>
                  <a:pt x="18879" y="457341"/>
                  <a:pt x="523473" y="158272"/>
                  <a:pt x="879512" y="53686"/>
                </a:cubicBezTo>
                <a:cubicBezTo>
                  <a:pt x="1235551" y="-50900"/>
                  <a:pt x="1808764" y="23427"/>
                  <a:pt x="2147828" y="297068"/>
                </a:cubicBezTo>
                <a:cubicBezTo>
                  <a:pt x="2577452" y="643794"/>
                  <a:pt x="2585818" y="1312209"/>
                  <a:pt x="2530903" y="1668833"/>
                </a:cubicBezTo>
              </a:path>
            </a:pathLst>
          </a:custGeom>
          <a:ln w="57150">
            <a:gradFill flip="none" rotWithShape="1">
              <a:gsLst>
                <a:gs pos="0">
                  <a:srgbClr val="ED7D31"/>
                </a:gs>
                <a:gs pos="100000">
                  <a:srgbClr val="70AD47"/>
                </a:gs>
              </a:gsLst>
              <a:lin ang="10800000" scaled="1"/>
              <a:tileRect/>
            </a:gradFill>
            <a:headEnd type="triangle" w="lg" len="lg"/>
            <a:tailEnd type="none" w="lg" len="lg"/>
            <a:extLst>
              <a:ext uri="{C807C97D-BFC1-408E-A445-0C87EB9F89A2}">
                <ask:lineSketchStyleProps xmlns:ask="http://schemas.microsoft.com/office/drawing/2018/sketchyshapes" sd="1219033472">
                  <a:custGeom>
                    <a:avLst/>
                    <a:gdLst>
                      <a:gd name="connsiteX0" fmla="*/ 128 w 3295650"/>
                      <a:gd name="connsiteY0" fmla="*/ 1495616 h 3028951"/>
                      <a:gd name="connsiteX1" fmla="*/ 1656492 w 3295650"/>
                      <a:gd name="connsiteY1" fmla="*/ 21 h 3028951"/>
                      <a:gd name="connsiteX2" fmla="*/ 3295650 w 3295650"/>
                      <a:gd name="connsiteY2" fmla="*/ 1514477 h 3028951"/>
                      <a:gd name="connsiteX3" fmla="*/ 2713419 w 3295650"/>
                      <a:gd name="connsiteY3" fmla="*/ 1514477 h 3028951"/>
                      <a:gd name="connsiteX4" fmla="*/ 2164144 w 3295650"/>
                      <a:gd name="connsiteY4" fmla="*/ 1514476 h 3028951"/>
                      <a:gd name="connsiteX5" fmla="*/ 1647825 w 3295650"/>
                      <a:gd name="connsiteY5" fmla="*/ 1514476 h 3028951"/>
                      <a:gd name="connsiteX6" fmla="*/ 1131547 w 3295650"/>
                      <a:gd name="connsiteY6" fmla="*/ 1508567 h 3028951"/>
                      <a:gd name="connsiteX7" fmla="*/ 615268 w 3295650"/>
                      <a:gd name="connsiteY7" fmla="*/ 1502657 h 3028951"/>
                      <a:gd name="connsiteX8" fmla="*/ 128 w 3295650"/>
                      <a:gd name="connsiteY8" fmla="*/ 1495616 h 3028951"/>
                      <a:gd name="connsiteX0" fmla="*/ 128 w 3295650"/>
                      <a:gd name="connsiteY0" fmla="*/ 1495616 h 3028951"/>
                      <a:gd name="connsiteX1" fmla="*/ 1656492 w 3295650"/>
                      <a:gd name="connsiteY1" fmla="*/ 21 h 3028951"/>
                      <a:gd name="connsiteX2" fmla="*/ 3295650 w 3295650"/>
                      <a:gd name="connsiteY2" fmla="*/ 1514477 h 3028951"/>
                    </a:gdLst>
                    <a:ahLst/>
                    <a:cxnLst>
                      <a:cxn ang="0">
                        <a:pos x="connsiteX0" y="connsiteY0"/>
                      </a:cxn>
                      <a:cxn ang="0">
                        <a:pos x="connsiteX1" y="connsiteY1"/>
                      </a:cxn>
                      <a:cxn ang="0">
                        <a:pos x="connsiteX2" y="connsiteY2"/>
                      </a:cxn>
                    </a:cxnLst>
                    <a:rect l="l" t="t" r="r" b="b"/>
                    <a:pathLst>
                      <a:path w="3295650" h="3028951" stroke="0" extrusionOk="0">
                        <a:moveTo>
                          <a:pt x="128" y="1495616"/>
                        </a:moveTo>
                        <a:cubicBezTo>
                          <a:pt x="-99520" y="595090"/>
                          <a:pt x="697282" y="15829"/>
                          <a:pt x="1656492" y="21"/>
                        </a:cubicBezTo>
                        <a:cubicBezTo>
                          <a:pt x="2729919" y="39510"/>
                          <a:pt x="3176871" y="684941"/>
                          <a:pt x="3295650" y="1514477"/>
                        </a:cubicBezTo>
                        <a:cubicBezTo>
                          <a:pt x="3099643" y="1566306"/>
                          <a:pt x="2996621" y="1473387"/>
                          <a:pt x="2713419" y="1514477"/>
                        </a:cubicBezTo>
                        <a:cubicBezTo>
                          <a:pt x="2430217" y="1555567"/>
                          <a:pt x="2375461" y="1458891"/>
                          <a:pt x="2164144" y="1514476"/>
                        </a:cubicBezTo>
                        <a:cubicBezTo>
                          <a:pt x="1952827" y="1570061"/>
                          <a:pt x="1799257" y="1477038"/>
                          <a:pt x="1647825" y="1514476"/>
                        </a:cubicBezTo>
                        <a:cubicBezTo>
                          <a:pt x="1405495" y="1539065"/>
                          <a:pt x="1302102" y="1507729"/>
                          <a:pt x="1131547" y="1508567"/>
                        </a:cubicBezTo>
                        <a:cubicBezTo>
                          <a:pt x="960992" y="1509404"/>
                          <a:pt x="770366" y="1467803"/>
                          <a:pt x="615268" y="1502657"/>
                        </a:cubicBezTo>
                        <a:cubicBezTo>
                          <a:pt x="460170" y="1537511"/>
                          <a:pt x="289928" y="1482163"/>
                          <a:pt x="128" y="1495616"/>
                        </a:cubicBezTo>
                        <a:close/>
                      </a:path>
                      <a:path w="3295650" h="3028951" fill="none" extrusionOk="0">
                        <a:moveTo>
                          <a:pt x="128" y="1495616"/>
                        </a:moveTo>
                        <a:cubicBezTo>
                          <a:pt x="208844" y="710982"/>
                          <a:pt x="644582" y="-21578"/>
                          <a:pt x="1656492" y="21"/>
                        </a:cubicBezTo>
                        <a:cubicBezTo>
                          <a:pt x="2731945" y="142435"/>
                          <a:pt x="3347277" y="758015"/>
                          <a:pt x="3295650" y="1514477"/>
                        </a:cubicBezTo>
                      </a:path>
                    </a:pathLst>
                  </a:custGeom>
                  <ask:type>
                    <ask:lineSketchNone/>
                  </ask:type>
                </ask:lineSketchStyleProps>
              </a:ext>
            </a:extLst>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a:p>
        </xdr:txBody>
      </xdr:sp>
      <xdr:sp macro="" textlink="">
        <xdr:nvSpPr>
          <xdr:cNvPr id="11" name="TextBox 10">
            <a:extLst>
              <a:ext uri="{FF2B5EF4-FFF2-40B4-BE49-F238E27FC236}">
                <a16:creationId xmlns:a16="http://schemas.microsoft.com/office/drawing/2014/main" id="{BD51A18B-7085-6F8E-D13B-3ED006B6845F}"/>
              </a:ext>
            </a:extLst>
          </xdr:cNvPr>
          <xdr:cNvSpPr txBox="1"/>
        </xdr:nvSpPr>
        <xdr:spPr>
          <a:xfrm>
            <a:off x="8108073" y="13230789"/>
            <a:ext cx="1452228" cy="774591"/>
          </a:xfrm>
          <a:prstGeom prst="rect">
            <a:avLst/>
          </a:prstGeom>
          <a:solidFill>
            <a:srgbClr val="FFFFFF">
              <a:alpha val="85098"/>
            </a:srgbClr>
          </a:solidFill>
          <a:ln>
            <a:solidFill>
              <a:schemeClr val="tx1"/>
            </a:solidFill>
          </a:ln>
          <a:effectLst>
            <a:outerShdw blurRad="38100" dist="25400" dir="2700000" algn="tl" rotWithShape="0">
              <a:prstClr val="black">
                <a:alpha val="15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noAutofit/>
          </a:bodyPr>
          <a:lstStyle/>
          <a:p>
            <a:pPr algn="ctr"/>
            <a:r>
              <a:rPr lang="en-GB" sz="1100"/>
              <a:t>Unmatched</a:t>
            </a:r>
            <a:r>
              <a:rPr lang="en-GB" sz="1100" baseline="0"/>
              <a:t> columns get padded with empty/null cells.</a:t>
            </a:r>
            <a:endParaRPr lang="en-GB" sz="1100"/>
          </a:p>
        </xdr:txBody>
      </xdr:sp>
      <xdr:sp macro="" textlink="">
        <xdr:nvSpPr>
          <xdr:cNvPr id="12" name="Arc 6">
            <a:extLst>
              <a:ext uri="{FF2B5EF4-FFF2-40B4-BE49-F238E27FC236}">
                <a16:creationId xmlns:a16="http://schemas.microsoft.com/office/drawing/2014/main" id="{ABEA2E3F-8224-E5E4-D707-DCDFAD4DA72D}"/>
              </a:ext>
            </a:extLst>
          </xdr:cNvPr>
          <xdr:cNvSpPr/>
        </xdr:nvSpPr>
        <xdr:spPr>
          <a:xfrm rot="10800000">
            <a:off x="4526879" y="13865102"/>
            <a:ext cx="3152753" cy="1386908"/>
          </a:xfrm>
          <a:custGeom>
            <a:avLst/>
            <a:gdLst>
              <a:gd name="connsiteX0" fmla="*/ 114 w 2548441"/>
              <a:gd name="connsiteY0" fmla="*/ 1077064 h 2183296"/>
              <a:gd name="connsiteX1" fmla="*/ 879626 w 2548441"/>
              <a:gd name="connsiteY1" fmla="*/ 53662 h 2183296"/>
              <a:gd name="connsiteX2" fmla="*/ 2147942 w 2548441"/>
              <a:gd name="connsiteY2" fmla="*/ 297044 h 2183296"/>
              <a:gd name="connsiteX3" fmla="*/ 2378617 w 2548441"/>
              <a:gd name="connsiteY3" fmla="*/ 1636151 h 2183296"/>
              <a:gd name="connsiteX4" fmla="*/ 1274221 w 2548441"/>
              <a:gd name="connsiteY4" fmla="*/ 1091648 h 2183296"/>
              <a:gd name="connsiteX5" fmla="*/ 114 w 2548441"/>
              <a:gd name="connsiteY5" fmla="*/ 1077064 h 2183296"/>
              <a:gd name="connsiteX0" fmla="*/ 114 w 2548441"/>
              <a:gd name="connsiteY0" fmla="*/ 1077064 h 2183296"/>
              <a:gd name="connsiteX1" fmla="*/ 879626 w 2548441"/>
              <a:gd name="connsiteY1" fmla="*/ 53662 h 2183296"/>
              <a:gd name="connsiteX2" fmla="*/ 2147942 w 2548441"/>
              <a:gd name="connsiteY2" fmla="*/ 297044 h 2183296"/>
              <a:gd name="connsiteX3" fmla="*/ 2378617 w 2548441"/>
              <a:gd name="connsiteY3" fmla="*/ 1636151 h 2183296"/>
              <a:gd name="connsiteX0" fmla="*/ 0 w 2659192"/>
              <a:gd name="connsiteY0" fmla="*/ 1077088 h 1668833"/>
              <a:gd name="connsiteX1" fmla="*/ 879512 w 2659192"/>
              <a:gd name="connsiteY1" fmla="*/ 53686 h 1668833"/>
              <a:gd name="connsiteX2" fmla="*/ 2147828 w 2659192"/>
              <a:gd name="connsiteY2" fmla="*/ 297068 h 1668833"/>
              <a:gd name="connsiteX3" fmla="*/ 2378503 w 2659192"/>
              <a:gd name="connsiteY3" fmla="*/ 1636175 h 1668833"/>
              <a:gd name="connsiteX4" fmla="*/ 1274107 w 2659192"/>
              <a:gd name="connsiteY4" fmla="*/ 1091672 h 1668833"/>
              <a:gd name="connsiteX5" fmla="*/ 0 w 2659192"/>
              <a:gd name="connsiteY5" fmla="*/ 1077088 h 1668833"/>
              <a:gd name="connsiteX0" fmla="*/ 0 w 2659192"/>
              <a:gd name="connsiteY0" fmla="*/ 1077088 h 1668833"/>
              <a:gd name="connsiteX1" fmla="*/ 879512 w 2659192"/>
              <a:gd name="connsiteY1" fmla="*/ 53686 h 1668833"/>
              <a:gd name="connsiteX2" fmla="*/ 2147828 w 2659192"/>
              <a:gd name="connsiteY2" fmla="*/ 297068 h 1668833"/>
              <a:gd name="connsiteX3" fmla="*/ 2530903 w 2659192"/>
              <a:gd name="connsiteY3" fmla="*/ 1668833 h 1668833"/>
              <a:gd name="connsiteX0" fmla="*/ 0 w 2559261"/>
              <a:gd name="connsiteY0" fmla="*/ 1077088 h 1668833"/>
              <a:gd name="connsiteX1" fmla="*/ 879512 w 2559261"/>
              <a:gd name="connsiteY1" fmla="*/ 53686 h 1668833"/>
              <a:gd name="connsiteX2" fmla="*/ 2147828 w 2559261"/>
              <a:gd name="connsiteY2" fmla="*/ 297068 h 1668833"/>
              <a:gd name="connsiteX3" fmla="*/ 2378503 w 2559261"/>
              <a:gd name="connsiteY3" fmla="*/ 1636175 h 1668833"/>
              <a:gd name="connsiteX4" fmla="*/ 1274107 w 2559261"/>
              <a:gd name="connsiteY4" fmla="*/ 1091672 h 1668833"/>
              <a:gd name="connsiteX5" fmla="*/ 0 w 2559261"/>
              <a:gd name="connsiteY5" fmla="*/ 1077088 h 1668833"/>
              <a:gd name="connsiteX0" fmla="*/ 0 w 2559261"/>
              <a:gd name="connsiteY0" fmla="*/ 1077088 h 1668833"/>
              <a:gd name="connsiteX1" fmla="*/ 879512 w 2559261"/>
              <a:gd name="connsiteY1" fmla="*/ 53686 h 1668833"/>
              <a:gd name="connsiteX2" fmla="*/ 2147828 w 2559261"/>
              <a:gd name="connsiteY2" fmla="*/ 297068 h 1668833"/>
              <a:gd name="connsiteX3" fmla="*/ 2530903 w 2559261"/>
              <a:gd name="connsiteY3" fmla="*/ 1668833 h 1668833"/>
              <a:gd name="connsiteX0" fmla="*/ 0 w 2554634"/>
              <a:gd name="connsiteY0" fmla="*/ 1077088 h 1668833"/>
              <a:gd name="connsiteX1" fmla="*/ 879512 w 2554634"/>
              <a:gd name="connsiteY1" fmla="*/ 53686 h 1668833"/>
              <a:gd name="connsiteX2" fmla="*/ 2147828 w 2554634"/>
              <a:gd name="connsiteY2" fmla="*/ 297068 h 1668833"/>
              <a:gd name="connsiteX3" fmla="*/ 2378503 w 2554634"/>
              <a:gd name="connsiteY3" fmla="*/ 1636175 h 1668833"/>
              <a:gd name="connsiteX4" fmla="*/ 1274107 w 2554634"/>
              <a:gd name="connsiteY4" fmla="*/ 1091672 h 1668833"/>
              <a:gd name="connsiteX5" fmla="*/ 0 w 2554634"/>
              <a:gd name="connsiteY5" fmla="*/ 1077088 h 1668833"/>
              <a:gd name="connsiteX0" fmla="*/ 0 w 2554634"/>
              <a:gd name="connsiteY0" fmla="*/ 1077088 h 1668833"/>
              <a:gd name="connsiteX1" fmla="*/ 879512 w 2554634"/>
              <a:gd name="connsiteY1" fmla="*/ 53686 h 1668833"/>
              <a:gd name="connsiteX2" fmla="*/ 2147828 w 2554634"/>
              <a:gd name="connsiteY2" fmla="*/ 297068 h 1668833"/>
              <a:gd name="connsiteX3" fmla="*/ 2530903 w 2554634"/>
              <a:gd name="connsiteY3" fmla="*/ 1668833 h 1668833"/>
              <a:gd name="connsiteX0" fmla="*/ 0 w 2554634"/>
              <a:gd name="connsiteY0" fmla="*/ 1077088 h 1668833"/>
              <a:gd name="connsiteX1" fmla="*/ 879512 w 2554634"/>
              <a:gd name="connsiteY1" fmla="*/ 53686 h 1668833"/>
              <a:gd name="connsiteX2" fmla="*/ 2147828 w 2554634"/>
              <a:gd name="connsiteY2" fmla="*/ 297068 h 1668833"/>
              <a:gd name="connsiteX3" fmla="*/ 2378503 w 2554634"/>
              <a:gd name="connsiteY3" fmla="*/ 1636175 h 1668833"/>
              <a:gd name="connsiteX4" fmla="*/ 1274107 w 2554634"/>
              <a:gd name="connsiteY4" fmla="*/ 1091672 h 1668833"/>
              <a:gd name="connsiteX5" fmla="*/ 0 w 2554634"/>
              <a:gd name="connsiteY5" fmla="*/ 1077088 h 1668833"/>
              <a:gd name="connsiteX0" fmla="*/ 11592 w 2554634"/>
              <a:gd name="connsiteY0" fmla="*/ 924583 h 1668833"/>
              <a:gd name="connsiteX1" fmla="*/ 879512 w 2554634"/>
              <a:gd name="connsiteY1" fmla="*/ 53686 h 1668833"/>
              <a:gd name="connsiteX2" fmla="*/ 2147828 w 2554634"/>
              <a:gd name="connsiteY2" fmla="*/ 297068 h 1668833"/>
              <a:gd name="connsiteX3" fmla="*/ 2530903 w 2554634"/>
              <a:gd name="connsiteY3" fmla="*/ 1668833 h 1668833"/>
            </a:gdLst>
            <a:ahLst/>
            <a:cxnLst>
              <a:cxn ang="0">
                <a:pos x="connsiteX0" y="connsiteY0"/>
              </a:cxn>
              <a:cxn ang="0">
                <a:pos x="connsiteX1" y="connsiteY1"/>
              </a:cxn>
              <a:cxn ang="0">
                <a:pos x="connsiteX2" y="connsiteY2"/>
              </a:cxn>
              <a:cxn ang="0">
                <a:pos x="connsiteX3" y="connsiteY3"/>
              </a:cxn>
            </a:cxnLst>
            <a:rect l="l" t="t" r="r" b="b"/>
            <a:pathLst>
              <a:path w="2554634" h="1668833" stroke="0" extrusionOk="0">
                <a:moveTo>
                  <a:pt x="0" y="1077088"/>
                </a:moveTo>
                <a:cubicBezTo>
                  <a:pt x="7287" y="609846"/>
                  <a:pt x="360890" y="198393"/>
                  <a:pt x="879512" y="53686"/>
                </a:cubicBezTo>
                <a:cubicBezTo>
                  <a:pt x="1322430" y="-69897"/>
                  <a:pt x="1808764" y="23427"/>
                  <a:pt x="2147828" y="297068"/>
                </a:cubicBezTo>
                <a:cubicBezTo>
                  <a:pt x="2577452" y="643794"/>
                  <a:pt x="2672904" y="1197908"/>
                  <a:pt x="2378503" y="1636175"/>
                </a:cubicBezTo>
                <a:lnTo>
                  <a:pt x="1274107" y="1091672"/>
                </a:lnTo>
                <a:lnTo>
                  <a:pt x="0" y="1077088"/>
                </a:lnTo>
                <a:close/>
              </a:path>
              <a:path w="2554634" h="1668833" fill="none">
                <a:moveTo>
                  <a:pt x="11592" y="924583"/>
                </a:moveTo>
                <a:cubicBezTo>
                  <a:pt x="18879" y="457341"/>
                  <a:pt x="523473" y="158272"/>
                  <a:pt x="879512" y="53686"/>
                </a:cubicBezTo>
                <a:cubicBezTo>
                  <a:pt x="1235551" y="-50900"/>
                  <a:pt x="1808764" y="23427"/>
                  <a:pt x="2147828" y="297068"/>
                </a:cubicBezTo>
                <a:cubicBezTo>
                  <a:pt x="2577452" y="643794"/>
                  <a:pt x="2585818" y="1312209"/>
                  <a:pt x="2530903" y="1668833"/>
                </a:cubicBezTo>
              </a:path>
            </a:pathLst>
          </a:custGeom>
          <a:ln w="57150">
            <a:gradFill flip="none" rotWithShape="1">
              <a:gsLst>
                <a:gs pos="0">
                  <a:srgbClr val="ED7D31"/>
                </a:gs>
                <a:gs pos="100000">
                  <a:srgbClr val="70AD47"/>
                </a:gs>
              </a:gsLst>
              <a:lin ang="10800000" scaled="1"/>
              <a:tileRect/>
            </a:gradFill>
            <a:headEnd type="triangle" w="lg" len="lg"/>
            <a:tailEnd type="none" w="lg" len="lg"/>
            <a:extLst>
              <a:ext uri="{C807C97D-BFC1-408E-A445-0C87EB9F89A2}">
                <ask:lineSketchStyleProps xmlns:ask="http://schemas.microsoft.com/office/drawing/2018/sketchyshapes" sd="1219033472">
                  <a:custGeom>
                    <a:avLst/>
                    <a:gdLst>
                      <a:gd name="connsiteX0" fmla="*/ 128 w 3295650"/>
                      <a:gd name="connsiteY0" fmla="*/ 1495616 h 3028951"/>
                      <a:gd name="connsiteX1" fmla="*/ 1656492 w 3295650"/>
                      <a:gd name="connsiteY1" fmla="*/ 21 h 3028951"/>
                      <a:gd name="connsiteX2" fmla="*/ 3295650 w 3295650"/>
                      <a:gd name="connsiteY2" fmla="*/ 1514477 h 3028951"/>
                      <a:gd name="connsiteX3" fmla="*/ 2713419 w 3295650"/>
                      <a:gd name="connsiteY3" fmla="*/ 1514477 h 3028951"/>
                      <a:gd name="connsiteX4" fmla="*/ 2164144 w 3295650"/>
                      <a:gd name="connsiteY4" fmla="*/ 1514476 h 3028951"/>
                      <a:gd name="connsiteX5" fmla="*/ 1647825 w 3295650"/>
                      <a:gd name="connsiteY5" fmla="*/ 1514476 h 3028951"/>
                      <a:gd name="connsiteX6" fmla="*/ 1131547 w 3295650"/>
                      <a:gd name="connsiteY6" fmla="*/ 1508567 h 3028951"/>
                      <a:gd name="connsiteX7" fmla="*/ 615268 w 3295650"/>
                      <a:gd name="connsiteY7" fmla="*/ 1502657 h 3028951"/>
                      <a:gd name="connsiteX8" fmla="*/ 128 w 3295650"/>
                      <a:gd name="connsiteY8" fmla="*/ 1495616 h 3028951"/>
                      <a:gd name="connsiteX0" fmla="*/ 128 w 3295650"/>
                      <a:gd name="connsiteY0" fmla="*/ 1495616 h 3028951"/>
                      <a:gd name="connsiteX1" fmla="*/ 1656492 w 3295650"/>
                      <a:gd name="connsiteY1" fmla="*/ 21 h 3028951"/>
                      <a:gd name="connsiteX2" fmla="*/ 3295650 w 3295650"/>
                      <a:gd name="connsiteY2" fmla="*/ 1514477 h 3028951"/>
                    </a:gdLst>
                    <a:ahLst/>
                    <a:cxnLst>
                      <a:cxn ang="0">
                        <a:pos x="connsiteX0" y="connsiteY0"/>
                      </a:cxn>
                      <a:cxn ang="0">
                        <a:pos x="connsiteX1" y="connsiteY1"/>
                      </a:cxn>
                      <a:cxn ang="0">
                        <a:pos x="connsiteX2" y="connsiteY2"/>
                      </a:cxn>
                    </a:cxnLst>
                    <a:rect l="l" t="t" r="r" b="b"/>
                    <a:pathLst>
                      <a:path w="3295650" h="3028951" stroke="0" extrusionOk="0">
                        <a:moveTo>
                          <a:pt x="128" y="1495616"/>
                        </a:moveTo>
                        <a:cubicBezTo>
                          <a:pt x="-99520" y="595090"/>
                          <a:pt x="697282" y="15829"/>
                          <a:pt x="1656492" y="21"/>
                        </a:cubicBezTo>
                        <a:cubicBezTo>
                          <a:pt x="2729919" y="39510"/>
                          <a:pt x="3176871" y="684941"/>
                          <a:pt x="3295650" y="1514477"/>
                        </a:cubicBezTo>
                        <a:cubicBezTo>
                          <a:pt x="3099643" y="1566306"/>
                          <a:pt x="2996621" y="1473387"/>
                          <a:pt x="2713419" y="1514477"/>
                        </a:cubicBezTo>
                        <a:cubicBezTo>
                          <a:pt x="2430217" y="1555567"/>
                          <a:pt x="2375461" y="1458891"/>
                          <a:pt x="2164144" y="1514476"/>
                        </a:cubicBezTo>
                        <a:cubicBezTo>
                          <a:pt x="1952827" y="1570061"/>
                          <a:pt x="1799257" y="1477038"/>
                          <a:pt x="1647825" y="1514476"/>
                        </a:cubicBezTo>
                        <a:cubicBezTo>
                          <a:pt x="1405495" y="1539065"/>
                          <a:pt x="1302102" y="1507729"/>
                          <a:pt x="1131547" y="1508567"/>
                        </a:cubicBezTo>
                        <a:cubicBezTo>
                          <a:pt x="960992" y="1509404"/>
                          <a:pt x="770366" y="1467803"/>
                          <a:pt x="615268" y="1502657"/>
                        </a:cubicBezTo>
                        <a:cubicBezTo>
                          <a:pt x="460170" y="1537511"/>
                          <a:pt x="289928" y="1482163"/>
                          <a:pt x="128" y="1495616"/>
                        </a:cubicBezTo>
                        <a:close/>
                      </a:path>
                      <a:path w="3295650" h="3028951" fill="none" extrusionOk="0">
                        <a:moveTo>
                          <a:pt x="128" y="1495616"/>
                        </a:moveTo>
                        <a:cubicBezTo>
                          <a:pt x="208844" y="710982"/>
                          <a:pt x="644582" y="-21578"/>
                          <a:pt x="1656492" y="21"/>
                        </a:cubicBezTo>
                        <a:cubicBezTo>
                          <a:pt x="2731945" y="142435"/>
                          <a:pt x="3347277" y="758015"/>
                          <a:pt x="3295650" y="1514477"/>
                        </a:cubicBezTo>
                      </a:path>
                    </a:pathLst>
                  </a:custGeom>
                  <ask:type>
                    <ask:lineSketchNone/>
                  </ask:type>
                </ask:lineSketchStyleProps>
              </a:ext>
            </a:extLst>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a:p>
        </xdr:txBody>
      </xdr:sp>
      <xdr:sp macro="" textlink="">
        <xdr:nvSpPr>
          <xdr:cNvPr id="13" name="Arc 12">
            <a:extLst>
              <a:ext uri="{FF2B5EF4-FFF2-40B4-BE49-F238E27FC236}">
                <a16:creationId xmlns:a16="http://schemas.microsoft.com/office/drawing/2014/main" id="{492AA732-BE21-B9F7-5E9E-8450728492CC}"/>
              </a:ext>
            </a:extLst>
          </xdr:cNvPr>
          <xdr:cNvSpPr/>
        </xdr:nvSpPr>
        <xdr:spPr>
          <a:xfrm rot="10800000" flipV="1">
            <a:off x="2038812" y="11543474"/>
            <a:ext cx="4822158" cy="2353088"/>
          </a:xfrm>
          <a:prstGeom prst="arc">
            <a:avLst>
              <a:gd name="adj1" fmla="val 10839347"/>
              <a:gd name="adj2" fmla="val 0"/>
            </a:avLst>
          </a:prstGeom>
          <a:ln w="57150">
            <a:gradFill flip="none" rotWithShape="1">
              <a:gsLst>
                <a:gs pos="0">
                  <a:srgbClr val="3673EE"/>
                </a:gs>
                <a:gs pos="100000">
                  <a:srgbClr val="70AD47"/>
                </a:gs>
              </a:gsLst>
              <a:lin ang="10800000" scaled="1"/>
              <a:tileRect/>
            </a:gradFill>
            <a:headEnd type="triangle" w="lg" len="lg"/>
            <a:tailEnd type="none" w="lg" len="lg"/>
            <a:extLst>
              <a:ext uri="{C807C97D-BFC1-408E-A445-0C87EB9F89A2}">
                <ask:lineSketchStyleProps xmlns:ask="http://schemas.microsoft.com/office/drawing/2018/sketchyshapes" sd="1219033472">
                  <a:custGeom>
                    <a:avLst/>
                    <a:gdLst>
                      <a:gd name="connsiteX0" fmla="*/ 128 w 3295650"/>
                      <a:gd name="connsiteY0" fmla="*/ 1495616 h 3028951"/>
                      <a:gd name="connsiteX1" fmla="*/ 1656492 w 3295650"/>
                      <a:gd name="connsiteY1" fmla="*/ 21 h 3028951"/>
                      <a:gd name="connsiteX2" fmla="*/ 3295650 w 3295650"/>
                      <a:gd name="connsiteY2" fmla="*/ 1514477 h 3028951"/>
                      <a:gd name="connsiteX3" fmla="*/ 2713419 w 3295650"/>
                      <a:gd name="connsiteY3" fmla="*/ 1514477 h 3028951"/>
                      <a:gd name="connsiteX4" fmla="*/ 2164144 w 3295650"/>
                      <a:gd name="connsiteY4" fmla="*/ 1514476 h 3028951"/>
                      <a:gd name="connsiteX5" fmla="*/ 1647825 w 3295650"/>
                      <a:gd name="connsiteY5" fmla="*/ 1514476 h 3028951"/>
                      <a:gd name="connsiteX6" fmla="*/ 1131547 w 3295650"/>
                      <a:gd name="connsiteY6" fmla="*/ 1508567 h 3028951"/>
                      <a:gd name="connsiteX7" fmla="*/ 615268 w 3295650"/>
                      <a:gd name="connsiteY7" fmla="*/ 1502657 h 3028951"/>
                      <a:gd name="connsiteX8" fmla="*/ 128 w 3295650"/>
                      <a:gd name="connsiteY8" fmla="*/ 1495616 h 3028951"/>
                      <a:gd name="connsiteX0" fmla="*/ 128 w 3295650"/>
                      <a:gd name="connsiteY0" fmla="*/ 1495616 h 3028951"/>
                      <a:gd name="connsiteX1" fmla="*/ 1656492 w 3295650"/>
                      <a:gd name="connsiteY1" fmla="*/ 21 h 3028951"/>
                      <a:gd name="connsiteX2" fmla="*/ 3295650 w 3295650"/>
                      <a:gd name="connsiteY2" fmla="*/ 1514477 h 3028951"/>
                    </a:gdLst>
                    <a:ahLst/>
                    <a:cxnLst>
                      <a:cxn ang="0">
                        <a:pos x="connsiteX0" y="connsiteY0"/>
                      </a:cxn>
                      <a:cxn ang="0">
                        <a:pos x="connsiteX1" y="connsiteY1"/>
                      </a:cxn>
                      <a:cxn ang="0">
                        <a:pos x="connsiteX2" y="connsiteY2"/>
                      </a:cxn>
                    </a:cxnLst>
                    <a:rect l="l" t="t" r="r" b="b"/>
                    <a:pathLst>
                      <a:path w="3295650" h="3028951" stroke="0" extrusionOk="0">
                        <a:moveTo>
                          <a:pt x="128" y="1495616"/>
                        </a:moveTo>
                        <a:cubicBezTo>
                          <a:pt x="-99520" y="595090"/>
                          <a:pt x="697282" y="15829"/>
                          <a:pt x="1656492" y="21"/>
                        </a:cubicBezTo>
                        <a:cubicBezTo>
                          <a:pt x="2729919" y="39510"/>
                          <a:pt x="3176871" y="684941"/>
                          <a:pt x="3295650" y="1514477"/>
                        </a:cubicBezTo>
                        <a:cubicBezTo>
                          <a:pt x="3099643" y="1566306"/>
                          <a:pt x="2996621" y="1473387"/>
                          <a:pt x="2713419" y="1514477"/>
                        </a:cubicBezTo>
                        <a:cubicBezTo>
                          <a:pt x="2430217" y="1555567"/>
                          <a:pt x="2375461" y="1458891"/>
                          <a:pt x="2164144" y="1514476"/>
                        </a:cubicBezTo>
                        <a:cubicBezTo>
                          <a:pt x="1952827" y="1570061"/>
                          <a:pt x="1799257" y="1477038"/>
                          <a:pt x="1647825" y="1514476"/>
                        </a:cubicBezTo>
                        <a:cubicBezTo>
                          <a:pt x="1405495" y="1539065"/>
                          <a:pt x="1302102" y="1507729"/>
                          <a:pt x="1131547" y="1508567"/>
                        </a:cubicBezTo>
                        <a:cubicBezTo>
                          <a:pt x="960992" y="1509404"/>
                          <a:pt x="770366" y="1467803"/>
                          <a:pt x="615268" y="1502657"/>
                        </a:cubicBezTo>
                        <a:cubicBezTo>
                          <a:pt x="460170" y="1537511"/>
                          <a:pt x="289928" y="1482163"/>
                          <a:pt x="128" y="1495616"/>
                        </a:cubicBezTo>
                        <a:close/>
                      </a:path>
                      <a:path w="3295650" h="3028951" fill="none" extrusionOk="0">
                        <a:moveTo>
                          <a:pt x="128" y="1495616"/>
                        </a:moveTo>
                        <a:cubicBezTo>
                          <a:pt x="208844" y="710982"/>
                          <a:pt x="644582" y="-21578"/>
                          <a:pt x="1656492" y="21"/>
                        </a:cubicBezTo>
                        <a:cubicBezTo>
                          <a:pt x="2731945" y="142435"/>
                          <a:pt x="3347277" y="758015"/>
                          <a:pt x="3295650" y="1514477"/>
                        </a:cubicBezTo>
                      </a:path>
                    </a:pathLst>
                  </a:custGeom>
                  <ask:type>
                    <ask:lineSketchNone/>
                  </ask:type>
                </ask:lineSketchStyleProps>
              </a:ext>
            </a:extLst>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a:p>
        </xdr:txBody>
      </xdr:sp>
      <xdr:sp macro="" textlink="">
        <xdr:nvSpPr>
          <xdr:cNvPr id="10" name="TextBox 9">
            <a:extLst>
              <a:ext uri="{FF2B5EF4-FFF2-40B4-BE49-F238E27FC236}">
                <a16:creationId xmlns:a16="http://schemas.microsoft.com/office/drawing/2014/main" id="{EBFAC7DF-7232-49C1-97BB-1386FCE35BF6}"/>
              </a:ext>
            </a:extLst>
          </xdr:cNvPr>
          <xdr:cNvSpPr txBox="1"/>
        </xdr:nvSpPr>
        <xdr:spPr>
          <a:xfrm>
            <a:off x="4695092" y="11793410"/>
            <a:ext cx="1230923" cy="577192"/>
          </a:xfrm>
          <a:prstGeom prst="rect">
            <a:avLst/>
          </a:prstGeom>
          <a:solidFill>
            <a:srgbClr val="FFFFFF">
              <a:alpha val="85098"/>
            </a:srgbClr>
          </a:solidFill>
          <a:ln>
            <a:solidFill>
              <a:schemeClr val="tx1"/>
            </a:solidFill>
          </a:ln>
          <a:effectLst>
            <a:outerShdw blurRad="38100" dist="25400" dir="2700000" algn="tl" rotWithShape="0">
              <a:prstClr val="black">
                <a:alpha val="15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noAutofit/>
          </a:bodyPr>
          <a:lstStyle/>
          <a:p>
            <a:pPr algn="ctr"/>
            <a:r>
              <a:rPr lang="en-GB" sz="1100"/>
              <a:t>Column</a:t>
            </a:r>
            <a:r>
              <a:rPr lang="en-GB" sz="1100" baseline="0"/>
              <a:t> names must match.</a:t>
            </a:r>
            <a:endParaRPr lang="en-GB"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xdr:colOff>
      <xdr:row>0</xdr:row>
      <xdr:rowOff>0</xdr:rowOff>
    </xdr:from>
    <xdr:to>
      <xdr:col>1</xdr:col>
      <xdr:colOff>571620</xdr:colOff>
      <xdr:row>4</xdr:row>
      <xdr:rowOff>133721</xdr:rowOff>
    </xdr:to>
    <xdr:pic>
      <xdr:nvPicPr>
        <xdr:cNvPr id="2" name="Picture 29">
          <a:extLst>
            <a:ext uri="{FF2B5EF4-FFF2-40B4-BE49-F238E27FC236}">
              <a16:creationId xmlns:a16="http://schemas.microsoft.com/office/drawing/2014/main" id="{6F6BEC21-8FD2-4067-B55E-6C42A86C94A9}"/>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621" t="-13750" r="-1"/>
        <a:stretch/>
      </xdr:blipFill>
      <xdr:spPr bwMode="auto">
        <a:xfrm>
          <a:off x="1" y="0"/>
          <a:ext cx="1196459" cy="8652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xdr:colOff>
      <xdr:row>0</xdr:row>
      <xdr:rowOff>0</xdr:rowOff>
    </xdr:from>
    <xdr:to>
      <xdr:col>1</xdr:col>
      <xdr:colOff>571620</xdr:colOff>
      <xdr:row>4</xdr:row>
      <xdr:rowOff>133721</xdr:rowOff>
    </xdr:to>
    <xdr:pic>
      <xdr:nvPicPr>
        <xdr:cNvPr id="2" name="Picture 29">
          <a:extLst>
            <a:ext uri="{FF2B5EF4-FFF2-40B4-BE49-F238E27FC236}">
              <a16:creationId xmlns:a16="http://schemas.microsoft.com/office/drawing/2014/main" id="{2216D7D8-F536-43E6-B4B8-09BA5732BFCD}"/>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621" t="-13750" r="-1"/>
        <a:stretch/>
      </xdr:blipFill>
      <xdr:spPr bwMode="auto">
        <a:xfrm>
          <a:off x="1" y="0"/>
          <a:ext cx="1196459" cy="8652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xdr:colOff>
      <xdr:row>0</xdr:row>
      <xdr:rowOff>0</xdr:rowOff>
    </xdr:from>
    <xdr:to>
      <xdr:col>1</xdr:col>
      <xdr:colOff>571620</xdr:colOff>
      <xdr:row>4</xdr:row>
      <xdr:rowOff>133721</xdr:rowOff>
    </xdr:to>
    <xdr:pic>
      <xdr:nvPicPr>
        <xdr:cNvPr id="2" name="Picture 29">
          <a:extLst>
            <a:ext uri="{FF2B5EF4-FFF2-40B4-BE49-F238E27FC236}">
              <a16:creationId xmlns:a16="http://schemas.microsoft.com/office/drawing/2014/main" id="{8954F084-FDC7-473A-8513-37E62BF491CE}"/>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621" t="-13750" r="-1"/>
        <a:stretch/>
      </xdr:blipFill>
      <xdr:spPr bwMode="auto">
        <a:xfrm>
          <a:off x="1" y="0"/>
          <a:ext cx="1196459" cy="8652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64</xdr:row>
      <xdr:rowOff>0</xdr:rowOff>
    </xdr:from>
    <xdr:to>
      <xdr:col>9</xdr:col>
      <xdr:colOff>123825</xdr:colOff>
      <xdr:row>98</xdr:row>
      <xdr:rowOff>102394</xdr:rowOff>
    </xdr:to>
    <xdr:pic>
      <xdr:nvPicPr>
        <xdr:cNvPr id="12" name="Picture 11" descr="Image of the markup column before rounding, with values shown unrounded, some with many decimal places.">
          <a:extLst>
            <a:ext uri="{FF2B5EF4-FFF2-40B4-BE49-F238E27FC236}">
              <a16:creationId xmlns:a16="http://schemas.microsoft.com/office/drawing/2014/main" id="{F8D681FC-4FF2-4EC2-826A-840B02B2F1DE}"/>
            </a:ext>
          </a:extLst>
        </xdr:cNvPr>
        <xdr:cNvPicPr>
          <a:picLocks noChangeAspect="1"/>
        </xdr:cNvPicPr>
      </xdr:nvPicPr>
      <xdr:blipFill>
        <a:blip xmlns:r="http://schemas.openxmlformats.org/officeDocument/2006/relationships" r:embed="rId2"/>
        <a:stretch>
          <a:fillRect/>
        </a:stretch>
      </xdr:blipFill>
      <xdr:spPr>
        <a:xfrm>
          <a:off x="609600" y="11896725"/>
          <a:ext cx="5000625" cy="6579394"/>
        </a:xfrm>
        <a:prstGeom prst="rect">
          <a:avLst/>
        </a:prstGeom>
      </xdr:spPr>
    </xdr:pic>
    <xdr:clientData/>
  </xdr:twoCellAnchor>
  <xdr:twoCellAnchor editAs="oneCell">
    <xdr:from>
      <xdr:col>10</xdr:col>
      <xdr:colOff>0</xdr:colOff>
      <xdr:row>64</xdr:row>
      <xdr:rowOff>0</xdr:rowOff>
    </xdr:from>
    <xdr:to>
      <xdr:col>18</xdr:col>
      <xdr:colOff>123825</xdr:colOff>
      <xdr:row>98</xdr:row>
      <xdr:rowOff>102394</xdr:rowOff>
    </xdr:to>
    <xdr:pic>
      <xdr:nvPicPr>
        <xdr:cNvPr id="13" name="Picture 12" descr="Image of the markup column after rounding, with all values rounded to two decimal places. The text below explains the error.">
          <a:extLst>
            <a:ext uri="{FF2B5EF4-FFF2-40B4-BE49-F238E27FC236}">
              <a16:creationId xmlns:a16="http://schemas.microsoft.com/office/drawing/2014/main" id="{1FDE9C5F-3174-4831-9FCD-46AD19887A0E}"/>
            </a:ext>
          </a:extLst>
        </xdr:cNvPr>
        <xdr:cNvPicPr>
          <a:picLocks noChangeAspect="1"/>
        </xdr:cNvPicPr>
      </xdr:nvPicPr>
      <xdr:blipFill>
        <a:blip xmlns:r="http://schemas.openxmlformats.org/officeDocument/2006/relationships" r:embed="rId3"/>
        <a:stretch>
          <a:fillRect/>
        </a:stretch>
      </xdr:blipFill>
      <xdr:spPr>
        <a:xfrm>
          <a:off x="6096000" y="11896725"/>
          <a:ext cx="5000625" cy="657939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xdr:colOff>
      <xdr:row>0</xdr:row>
      <xdr:rowOff>0</xdr:rowOff>
    </xdr:from>
    <xdr:to>
      <xdr:col>1</xdr:col>
      <xdr:colOff>571620</xdr:colOff>
      <xdr:row>4</xdr:row>
      <xdr:rowOff>133721</xdr:rowOff>
    </xdr:to>
    <xdr:pic>
      <xdr:nvPicPr>
        <xdr:cNvPr id="2" name="Picture 29">
          <a:extLst>
            <a:ext uri="{FF2B5EF4-FFF2-40B4-BE49-F238E27FC236}">
              <a16:creationId xmlns:a16="http://schemas.microsoft.com/office/drawing/2014/main" id="{DB087AE2-A279-4776-A26E-F0B0EB6A1C5F}"/>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621" t="-13750" r="-1"/>
        <a:stretch/>
      </xdr:blipFill>
      <xdr:spPr bwMode="auto">
        <a:xfrm>
          <a:off x="1" y="0"/>
          <a:ext cx="1196459" cy="8652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xdr:colOff>
      <xdr:row>0</xdr:row>
      <xdr:rowOff>0</xdr:rowOff>
    </xdr:from>
    <xdr:to>
      <xdr:col>1</xdr:col>
      <xdr:colOff>571620</xdr:colOff>
      <xdr:row>4</xdr:row>
      <xdr:rowOff>133721</xdr:rowOff>
    </xdr:to>
    <xdr:pic>
      <xdr:nvPicPr>
        <xdr:cNvPr id="2" name="Picture 29">
          <a:extLst>
            <a:ext uri="{FF2B5EF4-FFF2-40B4-BE49-F238E27FC236}">
              <a16:creationId xmlns:a16="http://schemas.microsoft.com/office/drawing/2014/main" id="{899194FB-3B4C-4DCC-8665-6C6383C33E18}"/>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621" t="-13750" r="-1"/>
        <a:stretch/>
      </xdr:blipFill>
      <xdr:spPr bwMode="auto">
        <a:xfrm>
          <a:off x="1" y="0"/>
          <a:ext cx="1196459" cy="8652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xdr:colOff>
      <xdr:row>0</xdr:row>
      <xdr:rowOff>0</xdr:rowOff>
    </xdr:from>
    <xdr:to>
      <xdr:col>1</xdr:col>
      <xdr:colOff>571620</xdr:colOff>
      <xdr:row>4</xdr:row>
      <xdr:rowOff>133721</xdr:rowOff>
    </xdr:to>
    <xdr:pic>
      <xdr:nvPicPr>
        <xdr:cNvPr id="2" name="Picture 29">
          <a:extLst>
            <a:ext uri="{FF2B5EF4-FFF2-40B4-BE49-F238E27FC236}">
              <a16:creationId xmlns:a16="http://schemas.microsoft.com/office/drawing/2014/main" id="{371B4458-DC23-429B-8A88-C40D58B5185E}"/>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621" t="-13750" r="-1"/>
        <a:stretch/>
      </xdr:blipFill>
      <xdr:spPr bwMode="auto">
        <a:xfrm>
          <a:off x="1" y="0"/>
          <a:ext cx="1196459" cy="8652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1</xdr:colOff>
      <xdr:row>0</xdr:row>
      <xdr:rowOff>0</xdr:rowOff>
    </xdr:from>
    <xdr:to>
      <xdr:col>1</xdr:col>
      <xdr:colOff>571620</xdr:colOff>
      <xdr:row>4</xdr:row>
      <xdr:rowOff>133721</xdr:rowOff>
    </xdr:to>
    <xdr:pic>
      <xdr:nvPicPr>
        <xdr:cNvPr id="2" name="Picture 29">
          <a:extLst>
            <a:ext uri="{FF2B5EF4-FFF2-40B4-BE49-F238E27FC236}">
              <a16:creationId xmlns:a16="http://schemas.microsoft.com/office/drawing/2014/main" id="{CBA6AE1D-A754-4A38-8B59-7B86D8BC0ADB}"/>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621" t="-13750" r="-1"/>
        <a:stretch/>
      </xdr:blipFill>
      <xdr:spPr bwMode="auto">
        <a:xfrm>
          <a:off x="1" y="0"/>
          <a:ext cx="1196459" cy="8652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xdr:colOff>
      <xdr:row>0</xdr:row>
      <xdr:rowOff>0</xdr:rowOff>
    </xdr:from>
    <xdr:to>
      <xdr:col>1</xdr:col>
      <xdr:colOff>571620</xdr:colOff>
      <xdr:row>4</xdr:row>
      <xdr:rowOff>133721</xdr:rowOff>
    </xdr:to>
    <xdr:pic>
      <xdr:nvPicPr>
        <xdr:cNvPr id="2" name="Picture 29">
          <a:extLst>
            <a:ext uri="{FF2B5EF4-FFF2-40B4-BE49-F238E27FC236}">
              <a16:creationId xmlns:a16="http://schemas.microsoft.com/office/drawing/2014/main" id="{C387E82A-DF9A-472C-8672-FD15FB19504B}"/>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621" t="-13750" r="-1"/>
        <a:stretch/>
      </xdr:blipFill>
      <xdr:spPr bwMode="auto">
        <a:xfrm>
          <a:off x="1" y="0"/>
          <a:ext cx="1196459" cy="8652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xdr:colOff>
      <xdr:row>0</xdr:row>
      <xdr:rowOff>0</xdr:rowOff>
    </xdr:from>
    <xdr:to>
      <xdr:col>1</xdr:col>
      <xdr:colOff>571620</xdr:colOff>
      <xdr:row>4</xdr:row>
      <xdr:rowOff>133721</xdr:rowOff>
    </xdr:to>
    <xdr:pic>
      <xdr:nvPicPr>
        <xdr:cNvPr id="2" name="Picture 29">
          <a:extLst>
            <a:ext uri="{FF2B5EF4-FFF2-40B4-BE49-F238E27FC236}">
              <a16:creationId xmlns:a16="http://schemas.microsoft.com/office/drawing/2014/main" id="{00000000-0008-0000-04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621" t="-13750" r="-1"/>
        <a:stretch/>
      </xdr:blipFill>
      <xdr:spPr bwMode="auto">
        <a:xfrm>
          <a:off x="1" y="0"/>
          <a:ext cx="1196459" cy="8652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0</xdr:colOff>
      <xdr:row>14</xdr:row>
      <xdr:rowOff>0</xdr:rowOff>
    </xdr:from>
    <xdr:to>
      <xdr:col>22</xdr:col>
      <xdr:colOff>209550</xdr:colOff>
      <xdr:row>26</xdr:row>
      <xdr:rowOff>123825</xdr:rowOff>
    </xdr:to>
    <xdr:grpSp>
      <xdr:nvGrpSpPr>
        <xdr:cNvPr id="8" name="Group 7">
          <a:extLst>
            <a:ext uri="{FF2B5EF4-FFF2-40B4-BE49-F238E27FC236}">
              <a16:creationId xmlns:a16="http://schemas.microsoft.com/office/drawing/2014/main" id="{E3B89298-E7BB-4F42-B13C-C192463EAE91}"/>
            </a:ext>
          </a:extLst>
        </xdr:cNvPr>
        <xdr:cNvGrpSpPr/>
      </xdr:nvGrpSpPr>
      <xdr:grpSpPr>
        <a:xfrm>
          <a:off x="8629650" y="2819400"/>
          <a:ext cx="5086350" cy="2476500"/>
          <a:chOff x="609600" y="952500"/>
          <a:chExt cx="5086350" cy="2476500"/>
        </a:xfrm>
      </xdr:grpSpPr>
      <xdr:sp macro="" textlink="">
        <xdr:nvSpPr>
          <xdr:cNvPr id="9" name="Rectangle: Rounded Corners 8">
            <a:extLst>
              <a:ext uri="{FF2B5EF4-FFF2-40B4-BE49-F238E27FC236}">
                <a16:creationId xmlns:a16="http://schemas.microsoft.com/office/drawing/2014/main" id="{0BB3F14C-DA69-C5DF-3204-F7071FAB1C8F}"/>
              </a:ext>
            </a:extLst>
          </xdr:cNvPr>
          <xdr:cNvSpPr/>
        </xdr:nvSpPr>
        <xdr:spPr>
          <a:xfrm>
            <a:off x="609600" y="952500"/>
            <a:ext cx="5086350" cy="2476500"/>
          </a:xfrm>
          <a:prstGeom prst="roundRect">
            <a:avLst/>
          </a:prstGeom>
          <a:solidFill>
            <a:srgbClr val="FF9B9B"/>
          </a:solidFill>
          <a:ln w="28575">
            <a:solidFill>
              <a:srgbClr val="B3373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tx1"/>
                </a:solidFill>
              </a:rPr>
              <a:t>All [Region]s</a:t>
            </a:r>
          </a:p>
        </xdr:txBody>
      </xdr:sp>
      <xdr:sp macro="" textlink="">
        <xdr:nvSpPr>
          <xdr:cNvPr id="10" name="Rectangle: Rounded Corners 9">
            <a:extLst>
              <a:ext uri="{FF2B5EF4-FFF2-40B4-BE49-F238E27FC236}">
                <a16:creationId xmlns:a16="http://schemas.microsoft.com/office/drawing/2014/main" id="{50D24DF7-2CFC-7230-5B73-DD45740EFB65}"/>
              </a:ext>
            </a:extLst>
          </xdr:cNvPr>
          <xdr:cNvSpPr/>
        </xdr:nvSpPr>
        <xdr:spPr>
          <a:xfrm>
            <a:off x="1219200" y="1333500"/>
            <a:ext cx="4307502" cy="1945821"/>
          </a:xfrm>
          <a:prstGeom prst="roundRect">
            <a:avLst/>
          </a:prstGeom>
          <a:solidFill>
            <a:srgbClr val="BAF7B7"/>
          </a:solidFill>
          <a:ln w="28575">
            <a:solidFill>
              <a:srgbClr val="2F7F2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tx1"/>
                </a:solidFill>
              </a:rPr>
              <a:t>[Region], </a:t>
            </a:r>
            <a:r>
              <a:rPr lang="en-GB" sz="1100" b="1" i="1">
                <a:solidFill>
                  <a:schemeClr val="tx1"/>
                </a:solidFill>
              </a:rPr>
              <a:t>R</a:t>
            </a:r>
            <a:r>
              <a:rPr lang="en-GB" sz="1100" b="1" i="0">
                <a:solidFill>
                  <a:schemeClr val="tx1"/>
                </a:solidFill>
              </a:rPr>
              <a:t>,</a:t>
            </a:r>
            <a:r>
              <a:rPr lang="en-GB" sz="1100" b="1">
                <a:solidFill>
                  <a:schemeClr val="tx1"/>
                </a:solidFill>
              </a:rPr>
              <a:t> with the second</a:t>
            </a:r>
            <a:r>
              <a:rPr lang="en-GB" sz="1100" b="1" baseline="0">
                <a:solidFill>
                  <a:schemeClr val="tx1"/>
                </a:solidFill>
              </a:rPr>
              <a:t> </a:t>
            </a:r>
            <a:r>
              <a:rPr lang="en-GB" sz="1100" b="1">
                <a:solidFill>
                  <a:schemeClr val="tx1"/>
                </a:solidFill>
              </a:rPr>
              <a:t>highest number of [State]s</a:t>
            </a:r>
          </a:p>
        </xdr:txBody>
      </xdr:sp>
      <xdr:sp macro="" textlink="">
        <xdr:nvSpPr>
          <xdr:cNvPr id="11" name="Rectangle: Rounded Corners 10">
            <a:extLst>
              <a:ext uri="{FF2B5EF4-FFF2-40B4-BE49-F238E27FC236}">
                <a16:creationId xmlns:a16="http://schemas.microsoft.com/office/drawing/2014/main" id="{FC74677E-9357-338A-8CB5-9F6C35B1D44C}"/>
              </a:ext>
            </a:extLst>
          </xdr:cNvPr>
          <xdr:cNvSpPr/>
        </xdr:nvSpPr>
        <xdr:spPr>
          <a:xfrm>
            <a:off x="1828800" y="1714500"/>
            <a:ext cx="3512760" cy="1415143"/>
          </a:xfrm>
          <a:prstGeom prst="roundRect">
            <a:avLst/>
          </a:prstGeom>
          <a:solidFill>
            <a:srgbClr val="FCEF8E"/>
          </a:solidFill>
          <a:ln w="28575">
            <a:solidFill>
              <a:srgbClr val="BC8F1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tx1"/>
                </a:solidFill>
              </a:rPr>
              <a:t>[Category], </a:t>
            </a:r>
            <a:r>
              <a:rPr lang="en-GB" sz="1100" b="1" i="1">
                <a:solidFill>
                  <a:schemeClr val="tx1"/>
                </a:solidFill>
              </a:rPr>
              <a:t>C</a:t>
            </a:r>
            <a:r>
              <a:rPr lang="en-GB" sz="1100" b="1">
                <a:solidFill>
                  <a:schemeClr val="tx1"/>
                </a:solidFill>
              </a:rPr>
              <a:t>, with the lowest</a:t>
            </a:r>
            <a:r>
              <a:rPr lang="en-GB" sz="1100" b="1" baseline="0">
                <a:solidFill>
                  <a:schemeClr val="tx1"/>
                </a:solidFill>
              </a:rPr>
              <a:t> sum of [Sales] within </a:t>
            </a:r>
            <a:r>
              <a:rPr lang="en-GB" sz="1100" b="1" i="1" baseline="0">
                <a:solidFill>
                  <a:schemeClr val="tx1"/>
                </a:solidFill>
              </a:rPr>
              <a:t>R</a:t>
            </a:r>
            <a:endParaRPr lang="en-GB" sz="1100" b="1" i="1">
              <a:solidFill>
                <a:schemeClr val="tx1"/>
              </a:solidFill>
            </a:endParaRPr>
          </a:p>
        </xdr:txBody>
      </xdr:sp>
      <xdr:sp macro="" textlink="">
        <xdr:nvSpPr>
          <xdr:cNvPr id="12" name="Rectangle: Rounded Corners 11">
            <a:extLst>
              <a:ext uri="{FF2B5EF4-FFF2-40B4-BE49-F238E27FC236}">
                <a16:creationId xmlns:a16="http://schemas.microsoft.com/office/drawing/2014/main" id="{F4D9C5E0-080E-2B7B-328D-76DC3C6595E0}"/>
              </a:ext>
            </a:extLst>
          </xdr:cNvPr>
          <xdr:cNvSpPr/>
        </xdr:nvSpPr>
        <xdr:spPr>
          <a:xfrm>
            <a:off x="2438400" y="2095500"/>
            <a:ext cx="2718018" cy="884464"/>
          </a:xfrm>
          <a:prstGeom prst="roundRect">
            <a:avLst/>
          </a:prstGeom>
          <a:solidFill>
            <a:srgbClr val="8AB1EA"/>
          </a:solidFill>
          <a:ln w="28575">
            <a:solidFill>
              <a:srgbClr val="2D4B7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tx1"/>
                </a:solidFill>
              </a:rPr>
              <a:t>Product with highest [UnitFullSalePrice]</a:t>
            </a:r>
            <a:r>
              <a:rPr lang="en-GB" sz="1100" b="1" baseline="0">
                <a:solidFill>
                  <a:schemeClr val="tx1"/>
                </a:solidFill>
              </a:rPr>
              <a:t> within </a:t>
            </a:r>
            <a:r>
              <a:rPr lang="en-GB" sz="1100" b="1" i="1" baseline="0">
                <a:solidFill>
                  <a:schemeClr val="tx1"/>
                </a:solidFill>
              </a:rPr>
              <a:t>C</a:t>
            </a:r>
            <a:r>
              <a:rPr lang="en-GB" sz="1100" b="1" baseline="0">
                <a:solidFill>
                  <a:schemeClr val="tx1"/>
                </a:solidFill>
              </a:rPr>
              <a:t> within </a:t>
            </a:r>
            <a:r>
              <a:rPr lang="en-GB" sz="1100" b="1" i="1" baseline="0">
                <a:solidFill>
                  <a:schemeClr val="tx1"/>
                </a:solidFill>
              </a:rPr>
              <a:t>R</a:t>
            </a:r>
            <a:endParaRPr lang="en-GB" sz="1100" b="1" i="1">
              <a:solidFill>
                <a:schemeClr val="tx1"/>
              </a:solidFill>
            </a:endParaRP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590550</xdr:colOff>
      <xdr:row>4</xdr:row>
      <xdr:rowOff>104775</xdr:rowOff>
    </xdr:to>
    <xdr:pic>
      <xdr:nvPicPr>
        <xdr:cNvPr id="4" name="Picture 29">
          <a:extLst>
            <a:ext uri="{FF2B5EF4-FFF2-40B4-BE49-F238E27FC236}">
              <a16:creationId xmlns:a16="http://schemas.microsoft.com/office/drawing/2014/main" id="{00000000-0008-0000-0700-000004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621" t="-13750" r="-1"/>
        <a:stretch/>
      </xdr:blipFill>
      <xdr:spPr bwMode="auto">
        <a:xfrm>
          <a:off x="0" y="0"/>
          <a:ext cx="12001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229703</xdr:colOff>
      <xdr:row>38</xdr:row>
      <xdr:rowOff>46448</xdr:rowOff>
    </xdr:from>
    <xdr:to>
      <xdr:col>9</xdr:col>
      <xdr:colOff>555988</xdr:colOff>
      <xdr:row>40</xdr:row>
      <xdr:rowOff>63413</xdr:rowOff>
    </xdr:to>
    <xdr:pic>
      <xdr:nvPicPr>
        <xdr:cNvPr id="9" name="Picture 8">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2"/>
        <a:stretch>
          <a:fillRect/>
        </a:stretch>
      </xdr:blipFill>
      <xdr:spPr>
        <a:xfrm>
          <a:off x="5716103" y="6885398"/>
          <a:ext cx="326285" cy="293190"/>
        </a:xfrm>
        <a:prstGeom prst="rect">
          <a:avLst/>
        </a:prstGeom>
        <a:effectLst>
          <a:outerShdw blurRad="38100" dist="25400" dir="2700000" algn="tl" rotWithShape="0">
            <a:prstClr val="black">
              <a:alpha val="15000"/>
            </a:prstClr>
          </a:outerShdw>
        </a:effec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instituteforapprenticeships.org/media/4612/st0795_data_technician_l3_assessment-plan-for-publication_c27_qm-adjustment-october-2020.pdf" TargetMode="External"/><Relationship Id="rId1" Type="http://schemas.openxmlformats.org/officeDocument/2006/relationships/hyperlink" Target="https://www.instituteforapprenticeships.org/media/4612/st0795_data_technician_l3_assessment-plan-for-publication_c27_qm-adjustment-october-2020.pdf" TargetMode="Externa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hyperlink" Target="https://en.wikipedia.org/wiki/Floating-point_arithmetic" TargetMode="External"/><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7.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8.v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9.v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10.v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hyperlink" Target="https://www.instituteforapprenticeships.org/media/4612/st0795_data_technician_l3_assessment-plan-for-publication_c27_qm-adjustment-october-2020.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EFA77-A5C7-412D-97BC-447ABC93B092}">
  <sheetPr codeName="shtIntro">
    <tabColor theme="4" tint="0.79998168889431442"/>
  </sheetPr>
  <dimension ref="B8:X86"/>
  <sheetViews>
    <sheetView showGridLines="0" topLeftCell="A4" zoomScaleNormal="100" workbookViewId="0">
      <selection activeCell="B26" sqref="B26:W26"/>
    </sheetView>
  </sheetViews>
  <sheetFormatPr defaultColWidth="9.140625" defaultRowHeight="15" x14ac:dyDescent="0.25"/>
  <cols>
    <col min="1" max="1" width="9.140625" style="4" customWidth="1"/>
    <col min="2" max="2" width="13.5703125" style="4" customWidth="1"/>
    <col min="3" max="3" width="16.5703125" style="4" customWidth="1"/>
    <col min="4" max="4" width="11.5703125" style="4" customWidth="1"/>
    <col min="5" max="5" width="14.5703125" style="4" bestFit="1" customWidth="1"/>
    <col min="6" max="6" width="11.5703125" style="4" customWidth="1"/>
    <col min="7" max="7" width="9.140625" style="4" customWidth="1"/>
    <col min="8" max="8" width="11.42578125" style="4" customWidth="1"/>
    <col min="9" max="9" width="13.5703125" style="4" customWidth="1"/>
    <col min="10" max="10" width="15.140625" style="4" customWidth="1"/>
    <col min="11" max="12" width="8.42578125" style="4" customWidth="1"/>
    <col min="13" max="14" width="11.5703125" style="4" customWidth="1"/>
    <col min="15" max="16" width="10.5703125" style="4" customWidth="1"/>
    <col min="17" max="45" width="9.42578125" style="4" customWidth="1"/>
    <col min="46" max="16384" width="9.140625" style="4"/>
  </cols>
  <sheetData>
    <row r="8" spans="2:24" ht="36" x14ac:dyDescent="0.55000000000000004">
      <c r="B8" s="7" t="s">
        <v>23</v>
      </c>
    </row>
    <row r="10" spans="2:24" ht="21" x14ac:dyDescent="0.35">
      <c r="B10" s="107" t="s">
        <v>0</v>
      </c>
      <c r="C10" s="107"/>
      <c r="D10" s="107"/>
      <c r="E10" s="107"/>
      <c r="F10" s="107"/>
      <c r="G10" s="107"/>
      <c r="H10" s="107"/>
      <c r="I10" s="107"/>
      <c r="J10" s="107"/>
      <c r="K10" s="107"/>
      <c r="L10" s="107"/>
      <c r="M10" s="107"/>
      <c r="N10" s="107"/>
      <c r="O10" s="107"/>
      <c r="P10" s="107"/>
      <c r="Q10" s="107"/>
      <c r="R10" s="107"/>
      <c r="S10" s="107"/>
      <c r="T10" s="107"/>
      <c r="U10" s="107"/>
      <c r="V10" s="107"/>
      <c r="W10" s="107"/>
      <c r="X10" s="107"/>
    </row>
    <row r="11" spans="2:24" ht="3" customHeight="1" x14ac:dyDescent="0.35">
      <c r="B11" s="108"/>
      <c r="C11" s="108"/>
      <c r="D11" s="108"/>
      <c r="E11" s="108"/>
      <c r="F11" s="108"/>
      <c r="G11" s="108"/>
      <c r="H11" s="108"/>
      <c r="I11" s="108"/>
      <c r="J11" s="108"/>
      <c r="K11" s="108"/>
      <c r="L11" s="108"/>
      <c r="M11" s="108"/>
      <c r="N11" s="108"/>
      <c r="O11" s="108"/>
      <c r="P11" s="108"/>
      <c r="Q11" s="108"/>
      <c r="R11" s="108"/>
      <c r="S11" s="108"/>
      <c r="T11" s="108"/>
      <c r="U11" s="108"/>
      <c r="V11" s="108"/>
      <c r="W11" s="108"/>
      <c r="X11" s="108"/>
    </row>
    <row r="12" spans="2:24" ht="6.95" customHeight="1" x14ac:dyDescent="0.25"/>
    <row r="13" spans="2:24" ht="15" customHeight="1" x14ac:dyDescent="0.25">
      <c r="B13" s="4" t="s">
        <v>26</v>
      </c>
    </row>
    <row r="14" spans="2:24" ht="15" customHeight="1" x14ac:dyDescent="0.25">
      <c r="B14" s="2" t="s">
        <v>30</v>
      </c>
    </row>
    <row r="15" spans="2:24" ht="15" customHeight="1" x14ac:dyDescent="0.25">
      <c r="B15" s="2" t="s">
        <v>39</v>
      </c>
    </row>
    <row r="16" spans="2:24" ht="15" customHeight="1" x14ac:dyDescent="0.25"/>
    <row r="17" spans="2:24" ht="15" customHeight="1" x14ac:dyDescent="0.25">
      <c r="B17" s="4" t="s">
        <v>25</v>
      </c>
    </row>
    <row r="18" spans="2:24" ht="15" customHeight="1" x14ac:dyDescent="0.25"/>
    <row r="19" spans="2:24" ht="15" customHeight="1" x14ac:dyDescent="0.25">
      <c r="B19" s="4" t="s">
        <v>32</v>
      </c>
    </row>
    <row r="20" spans="2:24" ht="15" customHeight="1" thickBot="1" x14ac:dyDescent="0.3"/>
    <row r="21" spans="2:24" s="21" customFormat="1" ht="39.950000000000003" customHeight="1" thickTop="1" thickBot="1" x14ac:dyDescent="0.3">
      <c r="B21" s="110" t="s">
        <v>24</v>
      </c>
      <c r="C21" s="110"/>
      <c r="D21" s="110"/>
      <c r="E21" s="110"/>
      <c r="F21" s="110"/>
      <c r="G21" s="110"/>
      <c r="H21" s="110"/>
      <c r="I21" s="110"/>
      <c r="J21" s="110"/>
      <c r="K21" s="110"/>
      <c r="L21" s="110"/>
      <c r="M21" s="110"/>
      <c r="N21" s="110"/>
      <c r="O21" s="110"/>
      <c r="P21" s="110"/>
      <c r="Q21" s="110"/>
      <c r="R21" s="110"/>
      <c r="S21" s="110"/>
      <c r="T21" s="110"/>
      <c r="U21" s="110"/>
      <c r="V21" s="110"/>
      <c r="W21" s="110"/>
      <c r="X21" s="20"/>
    </row>
    <row r="22" spans="2:24" ht="15" customHeight="1" thickTop="1" x14ac:dyDescent="0.25">
      <c r="B22" s="22" t="s">
        <v>22</v>
      </c>
    </row>
    <row r="23" spans="2:24" ht="15" customHeight="1" x14ac:dyDescent="0.25"/>
    <row r="24" spans="2:24" ht="15" customHeight="1" x14ac:dyDescent="0.25">
      <c r="B24" s="4" t="s">
        <v>29</v>
      </c>
    </row>
    <row r="25" spans="2:24" ht="15" customHeight="1" thickBot="1" x14ac:dyDescent="0.3"/>
    <row r="26" spans="2:24" s="21" customFormat="1" ht="24.95" customHeight="1" thickTop="1" thickBot="1" x14ac:dyDescent="0.3">
      <c r="B26" s="110" t="s">
        <v>27</v>
      </c>
      <c r="C26" s="110"/>
      <c r="D26" s="110"/>
      <c r="E26" s="110"/>
      <c r="F26" s="110"/>
      <c r="G26" s="110"/>
      <c r="H26" s="110"/>
      <c r="I26" s="110"/>
      <c r="J26" s="110"/>
      <c r="K26" s="110"/>
      <c r="L26" s="110"/>
      <c r="M26" s="110"/>
      <c r="N26" s="110"/>
      <c r="O26" s="110"/>
      <c r="P26" s="110"/>
      <c r="Q26" s="110"/>
      <c r="R26" s="110"/>
      <c r="S26" s="110"/>
      <c r="T26" s="110"/>
      <c r="U26" s="110"/>
      <c r="V26" s="110"/>
      <c r="W26" s="110"/>
      <c r="X26" s="20"/>
    </row>
    <row r="27" spans="2:24" ht="15" customHeight="1" thickTop="1" x14ac:dyDescent="0.25"/>
    <row r="28" spans="2:24" ht="15" customHeight="1" x14ac:dyDescent="0.25">
      <c r="B28" s="4" t="s">
        <v>28</v>
      </c>
    </row>
    <row r="29" spans="2:24" ht="6.95" customHeight="1" x14ac:dyDescent="0.25"/>
    <row r="30" spans="2:24" ht="15" customHeight="1" x14ac:dyDescent="0.25">
      <c r="B30" s="4" t="s">
        <v>33</v>
      </c>
    </row>
    <row r="31" spans="2:24" ht="15" customHeight="1" thickBot="1" x14ac:dyDescent="0.3"/>
    <row r="32" spans="2:24" s="21" customFormat="1" ht="114.95" customHeight="1" thickTop="1" thickBot="1" x14ac:dyDescent="0.3">
      <c r="B32" s="110" t="s">
        <v>31</v>
      </c>
      <c r="C32" s="110"/>
      <c r="D32" s="110"/>
      <c r="E32" s="110"/>
      <c r="F32" s="110"/>
      <c r="G32" s="110"/>
      <c r="H32" s="110"/>
      <c r="I32" s="110"/>
      <c r="J32" s="110"/>
      <c r="K32" s="110"/>
      <c r="L32" s="110"/>
      <c r="M32" s="110"/>
      <c r="N32" s="110"/>
      <c r="O32" s="110"/>
      <c r="P32" s="110"/>
      <c r="Q32" s="110"/>
      <c r="R32" s="110"/>
      <c r="S32" s="110"/>
      <c r="T32" s="110"/>
      <c r="U32" s="110"/>
      <c r="V32" s="110"/>
      <c r="W32" s="110"/>
      <c r="X32" s="20"/>
    </row>
    <row r="33" spans="2:24" ht="15" customHeight="1" thickTop="1" x14ac:dyDescent="0.25"/>
    <row r="34" spans="2:24" ht="15" customHeight="1" x14ac:dyDescent="0.25">
      <c r="B34" s="4" t="s">
        <v>34</v>
      </c>
    </row>
    <row r="35" spans="2:24" ht="6.95" customHeight="1" x14ac:dyDescent="0.25"/>
    <row r="36" spans="2:24" ht="15" customHeight="1" x14ac:dyDescent="0.25">
      <c r="B36" s="4" t="s">
        <v>35</v>
      </c>
    </row>
    <row r="37" spans="2:24" ht="6.95" customHeight="1" x14ac:dyDescent="0.25"/>
    <row r="38" spans="2:24" ht="15" customHeight="1" x14ac:dyDescent="0.25">
      <c r="B38" s="4" t="s">
        <v>43</v>
      </c>
    </row>
    <row r="39" spans="2:24" ht="6.95" customHeight="1" x14ac:dyDescent="0.25"/>
    <row r="40" spans="2:24" ht="15" customHeight="1" x14ac:dyDescent="0.25">
      <c r="B40" s="4" t="s">
        <v>44</v>
      </c>
    </row>
    <row r="41" spans="2:24" ht="15" customHeight="1" x14ac:dyDescent="0.25"/>
    <row r="42" spans="2:24" ht="15" customHeight="1" x14ac:dyDescent="0.25"/>
    <row r="43" spans="2:24" ht="15" customHeight="1" x14ac:dyDescent="0.25"/>
    <row r="44" spans="2:24" ht="21" x14ac:dyDescent="0.35">
      <c r="B44" s="107" t="s">
        <v>40</v>
      </c>
      <c r="C44" s="107"/>
      <c r="D44" s="107"/>
      <c r="E44" s="107"/>
      <c r="F44" s="107"/>
      <c r="G44" s="107"/>
      <c r="H44" s="107"/>
      <c r="I44" s="107"/>
      <c r="J44" s="107"/>
      <c r="K44" s="107"/>
      <c r="L44" s="107"/>
      <c r="M44" s="107"/>
      <c r="N44" s="107"/>
      <c r="O44" s="107"/>
      <c r="P44" s="107"/>
      <c r="Q44" s="107"/>
      <c r="R44" s="107"/>
      <c r="S44" s="107"/>
      <c r="T44" s="107"/>
      <c r="U44" s="107"/>
      <c r="V44" s="107"/>
      <c r="W44" s="107"/>
      <c r="X44" s="107"/>
    </row>
    <row r="45" spans="2:24" ht="3" customHeight="1" x14ac:dyDescent="0.35">
      <c r="B45" s="108"/>
      <c r="C45" s="108"/>
      <c r="D45" s="108"/>
      <c r="E45" s="108"/>
      <c r="F45" s="108"/>
      <c r="G45" s="108"/>
      <c r="H45" s="108"/>
      <c r="I45" s="108"/>
      <c r="J45" s="108"/>
      <c r="K45" s="108"/>
      <c r="L45" s="108"/>
      <c r="M45" s="108"/>
      <c r="N45" s="108"/>
      <c r="O45" s="108"/>
      <c r="P45" s="108"/>
      <c r="Q45" s="108"/>
      <c r="R45" s="108"/>
      <c r="S45" s="108"/>
      <c r="T45" s="108"/>
      <c r="U45" s="108"/>
      <c r="V45" s="108"/>
      <c r="W45" s="108"/>
      <c r="X45" s="108"/>
    </row>
    <row r="46" spans="2:24" ht="6.95" customHeight="1" x14ac:dyDescent="0.25"/>
    <row r="47" spans="2:24" ht="15" customHeight="1" x14ac:dyDescent="0.25">
      <c r="B47" s="4" t="s">
        <v>37</v>
      </c>
    </row>
    <row r="48" spans="2:24" ht="15" customHeight="1" x14ac:dyDescent="0.25">
      <c r="B48" s="42" t="s">
        <v>22</v>
      </c>
    </row>
    <row r="49" spans="2:24" ht="15" customHeight="1" x14ac:dyDescent="0.25"/>
    <row r="50" spans="2:24" ht="15" customHeight="1" x14ac:dyDescent="0.25"/>
    <row r="51" spans="2:24" ht="15" customHeight="1" x14ac:dyDescent="0.25"/>
    <row r="52" spans="2:24" ht="21" x14ac:dyDescent="0.35">
      <c r="B52" s="107" t="s">
        <v>1</v>
      </c>
      <c r="C52" s="107"/>
      <c r="D52" s="107"/>
      <c r="E52" s="107"/>
      <c r="F52" s="107"/>
      <c r="G52" s="107"/>
      <c r="H52" s="107"/>
      <c r="I52" s="107"/>
      <c r="J52" s="107"/>
      <c r="K52" s="107"/>
      <c r="L52" s="107"/>
      <c r="M52" s="107"/>
      <c r="N52" s="107"/>
      <c r="O52" s="107"/>
      <c r="P52" s="107"/>
      <c r="Q52" s="107"/>
      <c r="R52" s="107"/>
      <c r="S52" s="107"/>
      <c r="T52" s="107"/>
      <c r="U52" s="107"/>
      <c r="V52" s="107"/>
      <c r="W52" s="107"/>
      <c r="X52" s="107"/>
    </row>
    <row r="53" spans="2:24" ht="3" customHeight="1" x14ac:dyDescent="0.35">
      <c r="B53" s="108"/>
      <c r="C53" s="108"/>
      <c r="D53" s="108"/>
      <c r="E53" s="108"/>
      <c r="F53" s="108"/>
      <c r="G53" s="108"/>
      <c r="H53" s="108"/>
      <c r="I53" s="108"/>
      <c r="J53" s="108"/>
      <c r="K53" s="108"/>
      <c r="L53" s="108"/>
      <c r="M53" s="108"/>
      <c r="N53" s="108"/>
      <c r="O53" s="108"/>
      <c r="P53" s="108"/>
      <c r="Q53" s="108"/>
      <c r="R53" s="108"/>
      <c r="S53" s="108"/>
      <c r="T53" s="108"/>
      <c r="U53" s="108"/>
      <c r="V53" s="108"/>
      <c r="W53" s="108"/>
      <c r="X53" s="108"/>
    </row>
    <row r="54" spans="2:24" ht="6.95" customHeight="1" thickBot="1" x14ac:dyDescent="0.3"/>
    <row r="55" spans="2:24" ht="15.75" thickBot="1" x14ac:dyDescent="0.3">
      <c r="B55" s="38" t="s">
        <v>14</v>
      </c>
      <c r="C55" s="2" t="s">
        <v>5</v>
      </c>
    </row>
    <row r="56" spans="2:24" ht="6.95" customHeight="1" thickBot="1" x14ac:dyDescent="0.3"/>
    <row r="57" spans="2:24" ht="15.75" thickBot="1" x14ac:dyDescent="0.3">
      <c r="B57" s="39" t="s">
        <v>15</v>
      </c>
      <c r="C57" s="2" t="s">
        <v>6</v>
      </c>
    </row>
    <row r="58" spans="2:24" ht="6.95" customHeight="1" thickBot="1" x14ac:dyDescent="0.3"/>
    <row r="59" spans="2:24" ht="15.75" customHeight="1" thickTop="1" thickBot="1" x14ac:dyDescent="0.3">
      <c r="B59" s="40"/>
      <c r="C59" s="2" t="s">
        <v>95</v>
      </c>
    </row>
    <row r="60" spans="2:24" ht="15" customHeight="1" thickTop="1" x14ac:dyDescent="0.25"/>
    <row r="61" spans="2:24" ht="15" customHeight="1" x14ac:dyDescent="0.25"/>
    <row r="62" spans="2:24" ht="15" customHeight="1" x14ac:dyDescent="0.25"/>
    <row r="63" spans="2:24" ht="21" x14ac:dyDescent="0.35">
      <c r="B63" s="107" t="s">
        <v>36</v>
      </c>
      <c r="C63" s="107"/>
      <c r="D63" s="107"/>
      <c r="E63" s="107"/>
      <c r="F63" s="107"/>
      <c r="G63" s="107"/>
      <c r="H63" s="107"/>
      <c r="I63" s="107"/>
      <c r="J63" s="107"/>
      <c r="K63" s="107"/>
      <c r="L63" s="107"/>
      <c r="M63" s="107"/>
      <c r="N63" s="107"/>
      <c r="O63" s="107"/>
      <c r="P63" s="107"/>
      <c r="Q63" s="107"/>
      <c r="R63" s="107"/>
      <c r="S63" s="107"/>
      <c r="T63" s="107"/>
      <c r="U63" s="107"/>
      <c r="V63" s="107"/>
      <c r="W63" s="107"/>
      <c r="X63" s="107"/>
    </row>
    <row r="64" spans="2:24" ht="3" customHeight="1" x14ac:dyDescent="0.35">
      <c r="B64" s="108"/>
      <c r="C64" s="108"/>
      <c r="D64" s="108"/>
      <c r="E64" s="108"/>
      <c r="F64" s="108"/>
      <c r="G64" s="108"/>
      <c r="H64" s="108"/>
      <c r="I64" s="108"/>
      <c r="J64" s="108"/>
      <c r="K64" s="108"/>
      <c r="L64" s="108"/>
      <c r="M64" s="108"/>
      <c r="N64" s="108"/>
      <c r="O64" s="108"/>
      <c r="P64" s="108"/>
      <c r="Q64" s="108"/>
      <c r="R64" s="108"/>
      <c r="S64" s="108"/>
      <c r="T64" s="108"/>
      <c r="U64" s="108"/>
      <c r="V64" s="108"/>
      <c r="W64" s="108"/>
      <c r="X64" s="108"/>
    </row>
    <row r="65" spans="2:12" ht="6.95" customHeight="1" x14ac:dyDescent="0.25"/>
    <row r="66" spans="2:12" ht="15" customHeight="1" x14ac:dyDescent="0.25">
      <c r="B66" s="4" t="s">
        <v>258</v>
      </c>
    </row>
    <row r="67" spans="2:12" ht="6.95" customHeight="1" x14ac:dyDescent="0.25"/>
    <row r="68" spans="2:12" ht="15" customHeight="1" x14ac:dyDescent="0.25">
      <c r="B68" s="4" t="s">
        <v>38</v>
      </c>
    </row>
    <row r="69" spans="2:12" ht="15" customHeight="1" x14ac:dyDescent="0.25">
      <c r="B69" s="2" t="s">
        <v>254</v>
      </c>
    </row>
    <row r="70" spans="2:12" ht="15" customHeight="1" x14ac:dyDescent="0.25">
      <c r="B70" s="2" t="s">
        <v>255</v>
      </c>
    </row>
    <row r="71" spans="2:12" ht="15" customHeight="1" x14ac:dyDescent="0.25">
      <c r="B71" s="2" t="s">
        <v>256</v>
      </c>
    </row>
    <row r="72" spans="2:12" ht="15" customHeight="1" thickBot="1" x14ac:dyDescent="0.3"/>
    <row r="73" spans="2:12" ht="24.95" customHeight="1" thickBot="1" x14ac:dyDescent="0.3">
      <c r="B73" s="104" t="s">
        <v>42</v>
      </c>
      <c r="C73" s="105"/>
      <c r="D73" s="105"/>
      <c r="E73" s="105"/>
      <c r="F73" s="105"/>
      <c r="G73" s="105"/>
      <c r="H73" s="105"/>
      <c r="I73" s="105"/>
      <c r="J73" s="105"/>
      <c r="K73" s="105"/>
      <c r="L73" s="106"/>
    </row>
    <row r="74" spans="2:12" ht="15" customHeight="1" x14ac:dyDescent="0.25"/>
    <row r="75" spans="2:12" ht="15" customHeight="1" x14ac:dyDescent="0.25">
      <c r="B75" s="4" t="s">
        <v>257</v>
      </c>
    </row>
    <row r="76" spans="2:12" ht="6.95" customHeight="1" x14ac:dyDescent="0.25"/>
    <row r="77" spans="2:12" ht="15" customHeight="1" x14ac:dyDescent="0.25">
      <c r="B77" s="12" t="s">
        <v>295</v>
      </c>
    </row>
    <row r="78" spans="2:12" ht="6.95" customHeight="1" x14ac:dyDescent="0.25"/>
    <row r="79" spans="2:12" ht="15" customHeight="1" x14ac:dyDescent="0.25">
      <c r="B79" s="4" t="s">
        <v>296</v>
      </c>
    </row>
    <row r="80" spans="2:12" ht="15" customHeight="1" x14ac:dyDescent="0.25"/>
    <row r="81" spans="2:4" ht="15" customHeight="1" x14ac:dyDescent="0.25"/>
    <row r="82" spans="2:4" ht="23.25" x14ac:dyDescent="0.35">
      <c r="B82" s="109" t="s">
        <v>41</v>
      </c>
      <c r="C82" s="109"/>
      <c r="D82" s="109"/>
    </row>
    <row r="83" spans="2:4" ht="15" customHeight="1" x14ac:dyDescent="0.25"/>
    <row r="84" spans="2:4" ht="15" customHeight="1" x14ac:dyDescent="0.25"/>
    <row r="85" spans="2:4" ht="15" customHeight="1" x14ac:dyDescent="0.25"/>
    <row r="86" spans="2:4" ht="15" customHeight="1" x14ac:dyDescent="0.25"/>
  </sheetData>
  <sheetProtection algorithmName="SHA-512" hashValue="6PLEUgFIzM62Z70MZ/mXkYr5mFDPzxwBB/C6jjuT80jIXaMKfSv1S7SBfcZoL8lO3HA/OMLboNSege70oF4VUg==" saltValue="Lwz/AqVkEX4fpw04RPAxUg==" spinCount="100000" sheet="1" objects="1" scenarios="1" formatCells="0" formatColumns="0" formatRows="0"/>
  <mergeCells count="13">
    <mergeCell ref="B73:L73"/>
    <mergeCell ref="B52:X52"/>
    <mergeCell ref="B53:X53"/>
    <mergeCell ref="B82:D82"/>
    <mergeCell ref="B10:X10"/>
    <mergeCell ref="B11:X11"/>
    <mergeCell ref="B21:W21"/>
    <mergeCell ref="B26:W26"/>
    <mergeCell ref="B32:W32"/>
    <mergeCell ref="B63:X63"/>
    <mergeCell ref="B64:X64"/>
    <mergeCell ref="B44:X44"/>
    <mergeCell ref="B45:X45"/>
  </mergeCells>
  <phoneticPr fontId="6" type="noConversion"/>
  <hyperlinks>
    <hyperlink ref="B82" location="titleTables" display="Go to tables" xr:uid="{68F79A4C-6A65-46CE-B2C6-BC45C204A7E0}"/>
    <hyperlink ref="B48" r:id="rId1" xr:uid="{2DB84C9C-568F-406F-9D3E-DCB1E4873706}"/>
    <hyperlink ref="B22" r:id="rId2" xr:uid="{70C1840D-E139-41D3-947B-F2D36BC07768}"/>
    <hyperlink ref="B82:D82" location="'Part 1'!A1" display="Click here to start the activity" xr:uid="{6D2043E2-729D-4353-8194-7C832E9E9B8B}"/>
  </hyperlinks>
  <pageMargins left="0.7" right="0.7" top="0.75" bottom="0.75" header="0.3" footer="0.3"/>
  <pageSetup paperSize="9" orientation="portrait" r:id="rId3"/>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44CA4-3812-4762-9C62-85736CD5290A}">
  <sheetPr codeName="Sheet3"/>
  <dimension ref="B6:X136"/>
  <sheetViews>
    <sheetView showGridLines="0" topLeftCell="A130" zoomScaleNormal="100" workbookViewId="0">
      <selection activeCell="C90" sqref="C90"/>
    </sheetView>
  </sheetViews>
  <sheetFormatPr defaultRowHeight="15" x14ac:dyDescent="0.25"/>
  <cols>
    <col min="1" max="1" width="9.140625" customWidth="1"/>
  </cols>
  <sheetData>
    <row r="6" spans="2:24" s="4" customFormat="1" x14ac:dyDescent="0.25"/>
    <row r="7" spans="2:24" s="4" customFormat="1" x14ac:dyDescent="0.25"/>
    <row r="8" spans="2:24" s="4" customFormat="1" ht="36" x14ac:dyDescent="0.55000000000000004">
      <c r="B8" s="7" t="s">
        <v>45</v>
      </c>
    </row>
    <row r="9" spans="2:24" s="4" customFormat="1" x14ac:dyDescent="0.25"/>
    <row r="10" spans="2:24" s="4" customFormat="1" ht="21" x14ac:dyDescent="0.35">
      <c r="B10" s="107" t="s">
        <v>46</v>
      </c>
      <c r="C10" s="107"/>
      <c r="D10" s="107"/>
      <c r="E10" s="107"/>
      <c r="F10" s="107"/>
      <c r="G10" s="107"/>
      <c r="H10" s="107"/>
      <c r="I10" s="107"/>
      <c r="J10" s="107"/>
      <c r="K10" s="107"/>
      <c r="L10" s="107"/>
      <c r="M10" s="107"/>
      <c r="N10" s="107"/>
      <c r="O10" s="107"/>
      <c r="P10" s="107"/>
      <c r="Q10" s="107"/>
      <c r="R10" s="107"/>
      <c r="S10" s="107"/>
      <c r="T10" s="107"/>
      <c r="U10" s="107"/>
      <c r="V10" s="107"/>
      <c r="W10" s="107"/>
      <c r="X10" s="107"/>
    </row>
    <row r="11" spans="2:24" s="4" customFormat="1" ht="3" customHeight="1" x14ac:dyDescent="0.35">
      <c r="B11" s="108"/>
      <c r="C11" s="108"/>
      <c r="D11" s="108"/>
      <c r="E11" s="108"/>
      <c r="F11" s="108"/>
      <c r="G11" s="108"/>
      <c r="H11" s="108"/>
      <c r="I11" s="108"/>
      <c r="J11" s="108"/>
      <c r="K11" s="108"/>
      <c r="L11" s="108"/>
      <c r="M11" s="108"/>
      <c r="N11" s="108"/>
      <c r="O11" s="108"/>
      <c r="P11" s="108"/>
      <c r="Q11" s="108"/>
      <c r="R11" s="108"/>
      <c r="S11" s="108"/>
      <c r="T11" s="108"/>
      <c r="U11" s="108"/>
      <c r="V11" s="108"/>
      <c r="W11" s="108"/>
      <c r="X11" s="108"/>
    </row>
    <row r="12" spans="2:24" ht="15.75" thickBot="1" x14ac:dyDescent="0.3"/>
    <row r="13" spans="2:24" s="4" customFormat="1" ht="19.5" thickBot="1" x14ac:dyDescent="0.35">
      <c r="B13" s="8" t="s">
        <v>3</v>
      </c>
      <c r="C13" s="9" t="str">
        <f>REPT("★", MIN(B14, 5)) &amp; REPT("☆", 5 - MIN(B14, 5)) &amp; IF(B14 &gt; 5, "+", "")</f>
        <v>★★☆☆☆</v>
      </c>
      <c r="E13"/>
      <c r="F13"/>
      <c r="G13"/>
      <c r="H13"/>
    </row>
    <row r="14" spans="2:24" s="4" customFormat="1" ht="6.95" customHeight="1" thickBot="1" x14ac:dyDescent="0.3">
      <c r="B14" s="10">
        <v>2</v>
      </c>
    </row>
    <row r="15" spans="2:24" s="4" customFormat="1" ht="15" customHeight="1" x14ac:dyDescent="0.25">
      <c r="B15" s="112" t="s">
        <v>47</v>
      </c>
      <c r="C15" s="113"/>
      <c r="D15" s="113"/>
      <c r="E15" s="113"/>
      <c r="F15" s="113"/>
      <c r="G15" s="113"/>
      <c r="H15" s="113"/>
      <c r="I15" s="113"/>
      <c r="J15" s="113"/>
      <c r="K15" s="113"/>
      <c r="L15" s="113"/>
      <c r="M15" s="114"/>
    </row>
    <row r="16" spans="2:24" s="4" customFormat="1" ht="6.95" customHeight="1" x14ac:dyDescent="0.25">
      <c r="B16" s="121"/>
      <c r="C16" s="122"/>
      <c r="D16" s="122"/>
      <c r="E16" s="122"/>
      <c r="F16" s="122"/>
      <c r="G16" s="122"/>
      <c r="H16" s="122"/>
      <c r="I16" s="122"/>
      <c r="J16" s="122"/>
      <c r="K16" s="122"/>
      <c r="L16" s="122"/>
      <c r="M16" s="123"/>
    </row>
    <row r="17" spans="2:13" s="4" customFormat="1" ht="30" customHeight="1" thickBot="1" x14ac:dyDescent="0.3">
      <c r="B17" s="115" t="s">
        <v>72</v>
      </c>
      <c r="C17" s="116"/>
      <c r="D17" s="116"/>
      <c r="E17" s="116"/>
      <c r="F17" s="116"/>
      <c r="G17" s="116"/>
      <c r="H17" s="116"/>
      <c r="I17" s="116"/>
      <c r="J17" s="116"/>
      <c r="K17" s="116"/>
      <c r="L17" s="116"/>
      <c r="M17" s="117"/>
    </row>
    <row r="20" spans="2:13" ht="15.75" thickBot="1" x14ac:dyDescent="0.3"/>
    <row r="21" spans="2:13" s="4" customFormat="1" ht="19.5" thickBot="1" x14ac:dyDescent="0.35">
      <c r="B21" s="8" t="s">
        <v>48</v>
      </c>
      <c r="C21" s="9" t="str">
        <f>REPT("★", MIN(B22, 5)) &amp; REPT("☆", 5 - MIN(B22, 5)) &amp; IF(B22 &gt; 5, "+", "")</f>
        <v>★☆☆☆☆</v>
      </c>
      <c r="E21"/>
      <c r="F21"/>
      <c r="G21"/>
      <c r="H21"/>
    </row>
    <row r="22" spans="2:13" s="4" customFormat="1" ht="6.95" customHeight="1" thickBot="1" x14ac:dyDescent="0.3">
      <c r="B22" s="10">
        <v>1</v>
      </c>
    </row>
    <row r="23" spans="2:13" s="4" customFormat="1" ht="15" customHeight="1" thickBot="1" x14ac:dyDescent="0.3">
      <c r="B23" s="124" t="s">
        <v>71</v>
      </c>
      <c r="C23" s="125"/>
      <c r="D23" s="125"/>
      <c r="E23" s="125"/>
      <c r="F23" s="125"/>
      <c r="G23" s="125"/>
      <c r="H23" s="125"/>
      <c r="I23" s="125"/>
      <c r="J23" s="125"/>
      <c r="K23" s="125"/>
      <c r="L23" s="125"/>
      <c r="M23" s="126"/>
    </row>
    <row r="24" spans="2:13" s="4" customFormat="1" ht="6.95" customHeight="1" x14ac:dyDescent="0.25"/>
    <row r="25" spans="2:13" s="4" customFormat="1" ht="15" customHeight="1" x14ac:dyDescent="0.25">
      <c r="B25" s="5" t="s">
        <v>55</v>
      </c>
    </row>
    <row r="26" spans="2:13" ht="6.95" customHeight="1" x14ac:dyDescent="0.25"/>
    <row r="27" spans="2:13" s="4" customFormat="1" ht="15" customHeight="1" x14ac:dyDescent="0.25">
      <c r="B27" s="5" t="s">
        <v>56</v>
      </c>
    </row>
    <row r="28" spans="2:13" ht="6.95" customHeight="1" x14ac:dyDescent="0.25"/>
    <row r="29" spans="2:13" s="4" customFormat="1" ht="15" customHeight="1" x14ac:dyDescent="0.25">
      <c r="B29" s="5" t="s">
        <v>91</v>
      </c>
    </row>
    <row r="30" spans="2:13" ht="6.95" customHeight="1" x14ac:dyDescent="0.25"/>
    <row r="31" spans="2:13" s="4" customFormat="1" ht="15" customHeight="1" thickBot="1" x14ac:dyDescent="0.3">
      <c r="B31" s="12" t="s">
        <v>50</v>
      </c>
      <c r="E31"/>
    </row>
    <row r="32" spans="2:13" s="4" customFormat="1" ht="15.75" customHeight="1" thickTop="1" thickBot="1" x14ac:dyDescent="0.3">
      <c r="B32" s="118"/>
      <c r="C32" s="119"/>
      <c r="D32" s="120"/>
      <c r="E32"/>
      <c r="G32" s="13"/>
    </row>
    <row r="33" spans="2:24" s="4" customFormat="1" ht="6.95" customHeight="1" thickTop="1" x14ac:dyDescent="0.25">
      <c r="E33"/>
    </row>
    <row r="34" spans="2:24" s="4" customFormat="1" ht="15" customHeight="1" thickBot="1" x14ac:dyDescent="0.3">
      <c r="B34" s="12" t="s">
        <v>51</v>
      </c>
      <c r="E34"/>
    </row>
    <row r="35" spans="2:24" s="4" customFormat="1" ht="15.75" customHeight="1" thickTop="1" thickBot="1" x14ac:dyDescent="0.3">
      <c r="B35" s="118"/>
      <c r="C35" s="119"/>
      <c r="D35" s="120"/>
      <c r="E35"/>
      <c r="G35" s="13"/>
    </row>
    <row r="36" spans="2:24" ht="15.75" thickTop="1" x14ac:dyDescent="0.25"/>
    <row r="39" spans="2:24" s="4" customFormat="1" ht="21" x14ac:dyDescent="0.35">
      <c r="B39" s="107" t="s">
        <v>133</v>
      </c>
      <c r="C39" s="107"/>
      <c r="D39" s="107"/>
      <c r="E39" s="107"/>
      <c r="F39" s="107"/>
      <c r="G39" s="107"/>
      <c r="H39" s="107"/>
      <c r="I39" s="107"/>
      <c r="J39" s="107"/>
      <c r="K39" s="107"/>
      <c r="L39" s="107"/>
      <c r="M39" s="107"/>
      <c r="N39" s="107"/>
      <c r="O39" s="107"/>
      <c r="P39" s="107"/>
      <c r="Q39" s="107"/>
      <c r="R39" s="107"/>
      <c r="S39" s="107"/>
      <c r="T39" s="107"/>
      <c r="U39" s="107"/>
      <c r="V39" s="107"/>
      <c r="W39" s="107"/>
      <c r="X39" s="107"/>
    </row>
    <row r="40" spans="2:24" s="4" customFormat="1" ht="3" customHeight="1" x14ac:dyDescent="0.35">
      <c r="B40" s="108"/>
      <c r="C40" s="108"/>
      <c r="D40" s="108"/>
      <c r="E40" s="108"/>
      <c r="F40" s="108"/>
      <c r="G40" s="108"/>
      <c r="H40" s="108"/>
      <c r="I40" s="108"/>
      <c r="J40" s="108"/>
      <c r="K40" s="108"/>
      <c r="L40" s="108"/>
      <c r="M40" s="108"/>
      <c r="N40" s="108"/>
      <c r="O40" s="108"/>
      <c r="P40" s="108"/>
      <c r="Q40" s="108"/>
      <c r="R40" s="108"/>
      <c r="S40" s="108"/>
      <c r="T40" s="108"/>
      <c r="U40" s="108"/>
      <c r="V40" s="108"/>
      <c r="W40" s="108"/>
      <c r="X40" s="108"/>
    </row>
    <row r="41" spans="2:24" ht="15.75" thickBot="1" x14ac:dyDescent="0.3"/>
    <row r="42" spans="2:24" s="4" customFormat="1" ht="19.5" thickBot="1" x14ac:dyDescent="0.35">
      <c r="B42" s="8" t="s">
        <v>49</v>
      </c>
      <c r="C42" s="9" t="str">
        <f>REPT("★", MIN(B43, 5)) &amp; REPT("☆", 5 - MIN(B43, 5)) &amp; IF(B43 &gt; 5, "+", "")</f>
        <v>★★☆☆☆</v>
      </c>
      <c r="E42"/>
      <c r="F42"/>
      <c r="G42"/>
      <c r="H42"/>
    </row>
    <row r="43" spans="2:24" s="4" customFormat="1" ht="6.95" customHeight="1" thickBot="1" x14ac:dyDescent="0.3">
      <c r="B43" s="10">
        <v>2</v>
      </c>
    </row>
    <row r="44" spans="2:24" s="4" customFormat="1" ht="15" customHeight="1" x14ac:dyDescent="0.25">
      <c r="B44" s="112" t="s">
        <v>69</v>
      </c>
      <c r="C44" s="113"/>
      <c r="D44" s="113"/>
      <c r="E44" s="113"/>
      <c r="F44" s="113"/>
      <c r="G44" s="113"/>
      <c r="H44" s="113"/>
      <c r="I44" s="113"/>
      <c r="J44" s="113"/>
      <c r="K44" s="113"/>
      <c r="L44" s="113"/>
      <c r="M44" s="114"/>
    </row>
    <row r="45" spans="2:24" s="4" customFormat="1" ht="6.95" customHeight="1" x14ac:dyDescent="0.25">
      <c r="B45" s="14"/>
      <c r="C45" s="15"/>
      <c r="D45" s="15"/>
      <c r="E45" s="15"/>
      <c r="F45" s="15"/>
      <c r="G45" s="15"/>
      <c r="H45" s="15"/>
      <c r="I45" s="15"/>
      <c r="J45" s="15"/>
      <c r="K45" s="15"/>
      <c r="L45" s="15"/>
      <c r="M45" s="16"/>
    </row>
    <row r="46" spans="2:24" s="4" customFormat="1" ht="15" customHeight="1" x14ac:dyDescent="0.25">
      <c r="B46" s="121" t="s">
        <v>70</v>
      </c>
      <c r="C46" s="122"/>
      <c r="D46" s="122"/>
      <c r="E46" s="122"/>
      <c r="F46" s="122"/>
      <c r="G46" s="122"/>
      <c r="H46" s="122"/>
      <c r="I46" s="122"/>
      <c r="J46" s="122"/>
      <c r="K46" s="122"/>
      <c r="L46" s="122"/>
      <c r="M46" s="123"/>
    </row>
    <row r="47" spans="2:24" s="4" customFormat="1" ht="6.95" customHeight="1" x14ac:dyDescent="0.25">
      <c r="B47" s="121"/>
      <c r="C47" s="122"/>
      <c r="D47" s="122"/>
      <c r="E47" s="122"/>
      <c r="F47" s="122"/>
      <c r="G47" s="122"/>
      <c r="H47" s="122"/>
      <c r="I47" s="122"/>
      <c r="J47" s="122"/>
      <c r="K47" s="122"/>
      <c r="L47" s="122"/>
      <c r="M47" s="123"/>
    </row>
    <row r="48" spans="2:24" s="4" customFormat="1" ht="15" customHeight="1" thickBot="1" x14ac:dyDescent="0.3">
      <c r="B48" s="115" t="s">
        <v>54</v>
      </c>
      <c r="C48" s="116"/>
      <c r="D48" s="116"/>
      <c r="E48" s="116"/>
      <c r="F48" s="116"/>
      <c r="G48" s="116"/>
      <c r="H48" s="116"/>
      <c r="I48" s="116"/>
      <c r="J48" s="116"/>
      <c r="K48" s="116"/>
      <c r="L48" s="116"/>
      <c r="M48" s="117"/>
    </row>
    <row r="49" spans="2:24" s="4" customFormat="1" ht="6.95" customHeight="1" x14ac:dyDescent="0.25"/>
    <row r="50" spans="2:24" s="4" customFormat="1" ht="15" customHeight="1" x14ac:dyDescent="0.25">
      <c r="B50" s="5" t="s">
        <v>55</v>
      </c>
    </row>
    <row r="51" spans="2:24" s="4" customFormat="1" ht="6.95" customHeight="1" x14ac:dyDescent="0.25"/>
    <row r="52" spans="2:24" s="4" customFormat="1" ht="15" customHeight="1" x14ac:dyDescent="0.25">
      <c r="B52" s="5" t="s">
        <v>56</v>
      </c>
    </row>
    <row r="53" spans="2:24" ht="6.95" customHeight="1" x14ac:dyDescent="0.25"/>
    <row r="54" spans="2:24" s="4" customFormat="1" ht="15" customHeight="1" x14ac:dyDescent="0.25">
      <c r="B54" s="5" t="s">
        <v>91</v>
      </c>
    </row>
    <row r="55" spans="2:24" ht="6.95" customHeight="1" x14ac:dyDescent="0.25"/>
    <row r="56" spans="2:24" s="4" customFormat="1" ht="15" customHeight="1" thickBot="1" x14ac:dyDescent="0.3">
      <c r="B56" s="12" t="s">
        <v>52</v>
      </c>
    </row>
    <row r="57" spans="2:24" s="4" customFormat="1" ht="15.75" customHeight="1" thickTop="1" thickBot="1" x14ac:dyDescent="0.3">
      <c r="B57" s="118"/>
      <c r="C57" s="119"/>
      <c r="D57" s="120"/>
      <c r="E57"/>
      <c r="G57" s="13"/>
    </row>
    <row r="58" spans="2:24" s="4" customFormat="1" ht="6.95" customHeight="1" thickTop="1" x14ac:dyDescent="0.25"/>
    <row r="59" spans="2:24" s="4" customFormat="1" ht="15" customHeight="1" thickBot="1" x14ac:dyDescent="0.3">
      <c r="B59" s="12" t="s">
        <v>53</v>
      </c>
    </row>
    <row r="60" spans="2:24" s="4" customFormat="1" ht="15.75" customHeight="1" thickTop="1" thickBot="1" x14ac:dyDescent="0.3">
      <c r="B60" s="118"/>
      <c r="C60" s="119"/>
      <c r="D60" s="120"/>
      <c r="E60"/>
      <c r="G60" s="13"/>
    </row>
    <row r="61" spans="2:24" ht="15.75" thickTop="1" x14ac:dyDescent="0.25"/>
    <row r="64" spans="2:24" s="4" customFormat="1" ht="21" x14ac:dyDescent="0.35">
      <c r="B64" s="107" t="s">
        <v>87</v>
      </c>
      <c r="C64" s="107"/>
      <c r="D64" s="107"/>
      <c r="E64" s="107"/>
      <c r="F64" s="107"/>
      <c r="G64" s="107"/>
      <c r="H64" s="107"/>
      <c r="I64" s="107"/>
      <c r="J64" s="107"/>
      <c r="K64" s="107"/>
      <c r="L64" s="107"/>
      <c r="M64" s="107"/>
      <c r="N64" s="107"/>
      <c r="O64" s="107"/>
      <c r="P64" s="107"/>
      <c r="Q64" s="107"/>
      <c r="R64" s="107"/>
      <c r="S64" s="107"/>
      <c r="T64" s="107"/>
      <c r="U64" s="107"/>
      <c r="V64" s="107"/>
      <c r="W64" s="107"/>
      <c r="X64" s="107"/>
    </row>
    <row r="65" spans="2:24" s="4" customFormat="1" ht="3" customHeight="1" x14ac:dyDescent="0.35">
      <c r="B65" s="108"/>
      <c r="C65" s="108"/>
      <c r="D65" s="108"/>
      <c r="E65" s="108"/>
      <c r="F65" s="108"/>
      <c r="G65" s="108"/>
      <c r="H65" s="108"/>
      <c r="I65" s="108"/>
      <c r="J65" s="108"/>
      <c r="K65" s="108"/>
      <c r="L65" s="108"/>
      <c r="M65" s="108"/>
      <c r="N65" s="108"/>
      <c r="O65" s="108"/>
      <c r="P65" s="108"/>
      <c r="Q65" s="108"/>
      <c r="R65" s="108"/>
      <c r="S65" s="108"/>
      <c r="T65" s="108"/>
      <c r="U65" s="108"/>
      <c r="V65" s="108"/>
      <c r="W65" s="108"/>
      <c r="X65" s="108"/>
    </row>
    <row r="66" spans="2:24" ht="15.75" thickBot="1" x14ac:dyDescent="0.3"/>
    <row r="67" spans="2:24" s="4" customFormat="1" ht="19.5" thickBot="1" x14ac:dyDescent="0.35">
      <c r="B67" s="8" t="s">
        <v>66</v>
      </c>
      <c r="C67" s="9" t="str">
        <f>REPT("★", MIN(B68, 5)) &amp; REPT("☆", 5 - MIN(B68, 5)) &amp; IF(B68 &gt; 5, "+", "")</f>
        <v>★★☆☆☆</v>
      </c>
      <c r="E67"/>
      <c r="F67"/>
      <c r="G67"/>
      <c r="H67"/>
    </row>
    <row r="68" spans="2:24" s="4" customFormat="1" ht="6.95" customHeight="1" thickBot="1" x14ac:dyDescent="0.3">
      <c r="B68" s="10">
        <v>2</v>
      </c>
    </row>
    <row r="69" spans="2:24" s="4" customFormat="1" ht="30" customHeight="1" x14ac:dyDescent="0.25">
      <c r="B69" s="112" t="s">
        <v>80</v>
      </c>
      <c r="C69" s="113"/>
      <c r="D69" s="113"/>
      <c r="E69" s="113"/>
      <c r="F69" s="113"/>
      <c r="G69" s="113"/>
      <c r="H69" s="113"/>
      <c r="I69" s="113"/>
      <c r="J69" s="113"/>
      <c r="K69" s="113"/>
      <c r="L69" s="113"/>
      <c r="M69" s="114"/>
    </row>
    <row r="70" spans="2:24" s="4" customFormat="1" ht="6.95" customHeight="1" x14ac:dyDescent="0.25">
      <c r="B70" s="14"/>
      <c r="C70" s="15"/>
      <c r="D70" s="15"/>
      <c r="E70" s="15"/>
      <c r="F70" s="15"/>
      <c r="G70" s="15"/>
      <c r="H70" s="15"/>
      <c r="I70" s="15"/>
      <c r="J70" s="15"/>
      <c r="K70" s="15"/>
      <c r="L70" s="15"/>
      <c r="M70" s="16"/>
    </row>
    <row r="71" spans="2:24" s="4" customFormat="1" ht="15" customHeight="1" thickBot="1" x14ac:dyDescent="0.3">
      <c r="B71" s="115" t="s">
        <v>68</v>
      </c>
      <c r="C71" s="116"/>
      <c r="D71" s="116"/>
      <c r="E71" s="116"/>
      <c r="F71" s="116"/>
      <c r="G71" s="116"/>
      <c r="H71" s="116"/>
      <c r="I71" s="116"/>
      <c r="J71" s="116"/>
      <c r="K71" s="116"/>
      <c r="L71" s="116"/>
      <c r="M71" s="117"/>
    </row>
    <row r="72" spans="2:24" s="4" customFormat="1" ht="6.95" customHeight="1" x14ac:dyDescent="0.25"/>
    <row r="73" spans="2:24" s="4" customFormat="1" ht="15" customHeight="1" x14ac:dyDescent="0.25">
      <c r="B73" s="5" t="s">
        <v>55</v>
      </c>
    </row>
    <row r="74" spans="2:24" ht="6.95" customHeight="1" x14ac:dyDescent="0.25"/>
    <row r="75" spans="2:24" s="4" customFormat="1" ht="15" customHeight="1" x14ac:dyDescent="0.25">
      <c r="B75" s="5" t="s">
        <v>56</v>
      </c>
    </row>
    <row r="76" spans="2:24" ht="15" customHeight="1" x14ac:dyDescent="0.25"/>
    <row r="78" spans="2:24" x14ac:dyDescent="0.25">
      <c r="B78" t="s">
        <v>67</v>
      </c>
    </row>
    <row r="87" spans="2:13" ht="18.75" x14ac:dyDescent="0.3">
      <c r="B87" s="41" t="s">
        <v>326</v>
      </c>
      <c r="F87" s="41" t="s">
        <v>327</v>
      </c>
      <c r="J87" s="41" t="s">
        <v>62</v>
      </c>
    </row>
    <row r="88" spans="2:13" x14ac:dyDescent="0.25">
      <c r="B88" s="43" t="s">
        <v>58</v>
      </c>
      <c r="C88" s="44" t="s">
        <v>59</v>
      </c>
      <c r="D88" s="45" t="s">
        <v>77</v>
      </c>
      <c r="F88" s="46" t="s">
        <v>59</v>
      </c>
      <c r="G88" s="47" t="s">
        <v>58</v>
      </c>
      <c r="H88" s="48" t="s">
        <v>76</v>
      </c>
      <c r="J88" s="51" t="s">
        <v>58</v>
      </c>
      <c r="K88" s="60" t="s">
        <v>59</v>
      </c>
      <c r="L88" s="60" t="s">
        <v>77</v>
      </c>
      <c r="M88" s="56" t="s">
        <v>76</v>
      </c>
    </row>
    <row r="89" spans="2:13" x14ac:dyDescent="0.25">
      <c r="B89" s="29" t="s">
        <v>60</v>
      </c>
      <c r="C89" s="64">
        <v>62</v>
      </c>
      <c r="D89" s="31">
        <v>89</v>
      </c>
      <c r="F89" s="28">
        <v>45</v>
      </c>
      <c r="G89" s="57" t="s">
        <v>63</v>
      </c>
      <c r="H89" s="27">
        <v>155</v>
      </c>
      <c r="J89" s="52" t="s">
        <v>60</v>
      </c>
      <c r="K89" s="61">
        <v>62</v>
      </c>
      <c r="L89" s="61">
        <v>89</v>
      </c>
      <c r="M89" s="67" t="s">
        <v>78</v>
      </c>
    </row>
    <row r="90" spans="2:13" x14ac:dyDescent="0.25">
      <c r="B90" s="23" t="s">
        <v>57</v>
      </c>
      <c r="C90" s="65">
        <v>25</v>
      </c>
      <c r="D90" s="26">
        <v>74</v>
      </c>
      <c r="F90" s="25">
        <v>37</v>
      </c>
      <c r="G90" s="58" t="s">
        <v>64</v>
      </c>
      <c r="H90" s="36">
        <v>168</v>
      </c>
      <c r="J90" s="54" t="s">
        <v>57</v>
      </c>
      <c r="K90" s="62">
        <v>25</v>
      </c>
      <c r="L90" s="62">
        <v>74</v>
      </c>
      <c r="M90" s="68" t="s">
        <v>78</v>
      </c>
    </row>
    <row r="91" spans="2:13" x14ac:dyDescent="0.25">
      <c r="B91" s="24" t="s">
        <v>61</v>
      </c>
      <c r="C91" s="66">
        <v>30</v>
      </c>
      <c r="D91" s="30">
        <v>84</v>
      </c>
      <c r="F91" s="34">
        <v>19</v>
      </c>
      <c r="G91" s="59" t="s">
        <v>65</v>
      </c>
      <c r="H91" s="33">
        <v>165</v>
      </c>
      <c r="J91" s="52" t="s">
        <v>61</v>
      </c>
      <c r="K91" s="61">
        <v>30</v>
      </c>
      <c r="L91" s="61">
        <v>84</v>
      </c>
      <c r="M91" s="67" t="s">
        <v>78</v>
      </c>
    </row>
    <row r="92" spans="2:13" x14ac:dyDescent="0.25">
      <c r="J92" s="54" t="s">
        <v>63</v>
      </c>
      <c r="K92" s="62">
        <v>45</v>
      </c>
      <c r="L92" s="69" t="s">
        <v>78</v>
      </c>
      <c r="M92" s="55">
        <v>155</v>
      </c>
    </row>
    <row r="93" spans="2:13" x14ac:dyDescent="0.25">
      <c r="J93" s="52" t="s">
        <v>64</v>
      </c>
      <c r="K93" s="61">
        <v>37</v>
      </c>
      <c r="L93" s="70" t="s">
        <v>78</v>
      </c>
      <c r="M93" s="53">
        <v>168</v>
      </c>
    </row>
    <row r="94" spans="2:13" x14ac:dyDescent="0.25">
      <c r="J94" s="32" t="s">
        <v>65</v>
      </c>
      <c r="K94" s="63">
        <v>19</v>
      </c>
      <c r="L94" s="71" t="s">
        <v>78</v>
      </c>
      <c r="M94" s="37">
        <v>165</v>
      </c>
    </row>
    <row r="103" spans="2:13" ht="15.75" thickBot="1" x14ac:dyDescent="0.3"/>
    <row r="104" spans="2:13" s="4" customFormat="1" ht="19.5" thickBot="1" x14ac:dyDescent="0.35">
      <c r="B104" s="8" t="s">
        <v>79</v>
      </c>
      <c r="C104" s="9" t="str">
        <f>REPT("★", MIN(B105, 5)) &amp; REPT("☆", 5 - MIN(B105, 5)) &amp; IF(B105 &gt; 5, "+", "")</f>
        <v>★☆☆☆☆</v>
      </c>
      <c r="E104"/>
      <c r="F104"/>
      <c r="G104"/>
      <c r="H104"/>
    </row>
    <row r="105" spans="2:13" s="4" customFormat="1" ht="6.95" customHeight="1" thickBot="1" x14ac:dyDescent="0.3">
      <c r="B105" s="10">
        <v>1</v>
      </c>
    </row>
    <row r="106" spans="2:13" s="4" customFormat="1" ht="15" customHeight="1" x14ac:dyDescent="0.25">
      <c r="B106" s="112" t="s">
        <v>81</v>
      </c>
      <c r="C106" s="113"/>
      <c r="D106" s="113"/>
      <c r="E106" s="113"/>
      <c r="F106" s="113"/>
      <c r="G106" s="113"/>
      <c r="H106" s="113"/>
      <c r="I106" s="113"/>
      <c r="J106" s="113"/>
      <c r="K106" s="113"/>
      <c r="L106" s="113"/>
      <c r="M106" s="114"/>
    </row>
    <row r="107" spans="2:13" s="4" customFormat="1" ht="6.95" customHeight="1" x14ac:dyDescent="0.25">
      <c r="B107" s="14"/>
      <c r="C107" s="15"/>
      <c r="D107" s="15"/>
      <c r="E107" s="15"/>
      <c r="F107" s="15"/>
      <c r="G107" s="15"/>
      <c r="H107" s="15"/>
      <c r="I107" s="15"/>
      <c r="J107" s="15"/>
      <c r="K107" s="15"/>
      <c r="L107" s="15"/>
      <c r="M107" s="16"/>
    </row>
    <row r="108" spans="2:13" s="4" customFormat="1" ht="15" customHeight="1" thickBot="1" x14ac:dyDescent="0.3">
      <c r="B108" s="115" t="s">
        <v>82</v>
      </c>
      <c r="C108" s="116"/>
      <c r="D108" s="116"/>
      <c r="E108" s="116"/>
      <c r="F108" s="116"/>
      <c r="G108" s="116"/>
      <c r="H108" s="116"/>
      <c r="I108" s="116"/>
      <c r="J108" s="116"/>
      <c r="K108" s="116"/>
      <c r="L108" s="116"/>
      <c r="M108" s="117"/>
    </row>
    <row r="109" spans="2:13" s="4" customFormat="1" ht="6.95" customHeight="1" x14ac:dyDescent="0.25"/>
    <row r="110" spans="2:13" s="4" customFormat="1" ht="15" customHeight="1" x14ac:dyDescent="0.25">
      <c r="B110" s="5" t="s">
        <v>55</v>
      </c>
    </row>
    <row r="111" spans="2:13" ht="6.95" customHeight="1" x14ac:dyDescent="0.25"/>
    <row r="112" spans="2:13" s="4" customFormat="1" ht="15" customHeight="1" thickBot="1" x14ac:dyDescent="0.3">
      <c r="B112" s="12" t="s">
        <v>83</v>
      </c>
    </row>
    <row r="113" spans="2:24" s="4" customFormat="1" ht="15.75" customHeight="1" thickTop="1" thickBot="1" x14ac:dyDescent="0.3">
      <c r="B113" s="127"/>
      <c r="C113" s="128"/>
      <c r="D113" s="129"/>
      <c r="E113"/>
      <c r="G113" s="13"/>
    </row>
    <row r="114" spans="2:24" ht="15" customHeight="1" thickTop="1" x14ac:dyDescent="0.25"/>
    <row r="115" spans="2:24" ht="15" customHeight="1" x14ac:dyDescent="0.25"/>
    <row r="116" spans="2:24" ht="15" customHeight="1" thickBot="1" x14ac:dyDescent="0.3"/>
    <row r="117" spans="2:24" s="4" customFormat="1" ht="19.5" thickBot="1" x14ac:dyDescent="0.35">
      <c r="B117" s="8" t="s">
        <v>84</v>
      </c>
      <c r="C117" s="9" t="str">
        <f>REPT("★", MIN(B118, 5)) &amp; REPT("☆", 5 - MIN(B118, 5)) &amp; IF(B118 &gt; 5, "+", "")</f>
        <v>★☆☆☆☆</v>
      </c>
      <c r="E117"/>
      <c r="F117"/>
      <c r="G117"/>
      <c r="H117"/>
    </row>
    <row r="118" spans="2:24" s="4" customFormat="1" ht="6.95" customHeight="1" thickBot="1" x14ac:dyDescent="0.3">
      <c r="B118" s="10">
        <v>1</v>
      </c>
    </row>
    <row r="119" spans="2:24" s="4" customFormat="1" ht="15" customHeight="1" thickBot="1" x14ac:dyDescent="0.3">
      <c r="B119" s="124" t="s">
        <v>85</v>
      </c>
      <c r="C119" s="125"/>
      <c r="D119" s="125"/>
      <c r="E119" s="125"/>
      <c r="F119" s="125"/>
      <c r="G119" s="125"/>
      <c r="H119" s="125"/>
      <c r="I119" s="125"/>
      <c r="J119" s="125"/>
      <c r="K119" s="125"/>
      <c r="L119" s="125"/>
      <c r="M119" s="126"/>
    </row>
    <row r="123" spans="2:24" s="4" customFormat="1" ht="21" x14ac:dyDescent="0.35">
      <c r="B123" s="107" t="s">
        <v>88</v>
      </c>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row>
    <row r="124" spans="2:24" s="4" customFormat="1" ht="3" customHeight="1" x14ac:dyDescent="0.35">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row>
    <row r="125" spans="2:24" ht="15.75" thickBot="1" x14ac:dyDescent="0.3"/>
    <row r="126" spans="2:24" s="4" customFormat="1" ht="19.5" thickBot="1" x14ac:dyDescent="0.35">
      <c r="B126" s="8" t="s">
        <v>86</v>
      </c>
      <c r="C126" s="9" t="str">
        <f>REPT("★", MIN(B127, 5)) &amp; REPT("☆", 5 - MIN(B127, 5)) &amp; IF(B127 &gt; 5, "+", "")</f>
        <v>★☆☆☆☆</v>
      </c>
      <c r="E126"/>
      <c r="F126"/>
      <c r="G126"/>
      <c r="H126"/>
    </row>
    <row r="127" spans="2:24" s="4" customFormat="1" ht="6.95" customHeight="1" thickBot="1" x14ac:dyDescent="0.3">
      <c r="B127" s="10">
        <v>1</v>
      </c>
    </row>
    <row r="128" spans="2:24" s="4" customFormat="1" ht="30" customHeight="1" thickBot="1" x14ac:dyDescent="0.3">
      <c r="B128" s="124" t="s">
        <v>74</v>
      </c>
      <c r="C128" s="125"/>
      <c r="D128" s="125"/>
      <c r="E128" s="125"/>
      <c r="F128" s="125"/>
      <c r="G128" s="125"/>
      <c r="H128" s="125"/>
      <c r="I128" s="125"/>
      <c r="J128" s="125"/>
      <c r="K128" s="125"/>
      <c r="L128" s="125"/>
      <c r="M128" s="126"/>
    </row>
    <row r="129" spans="2:8" s="4" customFormat="1" ht="6.95" customHeight="1" x14ac:dyDescent="0.25"/>
    <row r="130" spans="2:8" s="4" customFormat="1" ht="15" customHeight="1" x14ac:dyDescent="0.25">
      <c r="B130" s="5" t="s">
        <v>55</v>
      </c>
    </row>
    <row r="136" spans="2:8" ht="23.25" x14ac:dyDescent="0.35">
      <c r="B136" s="111" t="s">
        <v>259</v>
      </c>
      <c r="C136" s="111"/>
      <c r="D136" s="111"/>
      <c r="F136" s="111" t="s">
        <v>260</v>
      </c>
      <c r="G136" s="111"/>
      <c r="H136" s="111"/>
    </row>
  </sheetData>
  <mergeCells count="29">
    <mergeCell ref="B39:X39"/>
    <mergeCell ref="B40:X40"/>
    <mergeCell ref="B69:M69"/>
    <mergeCell ref="B71:M71"/>
    <mergeCell ref="B48:M48"/>
    <mergeCell ref="B47:M47"/>
    <mergeCell ref="B57:D57"/>
    <mergeCell ref="B60:D60"/>
    <mergeCell ref="B113:D113"/>
    <mergeCell ref="B64:X64"/>
    <mergeCell ref="B65:X65"/>
    <mergeCell ref="B123:X123"/>
    <mergeCell ref="B124:X124"/>
    <mergeCell ref="B136:D136"/>
    <mergeCell ref="F136:H136"/>
    <mergeCell ref="B10:X10"/>
    <mergeCell ref="B11:X11"/>
    <mergeCell ref="B15:M15"/>
    <mergeCell ref="B17:M17"/>
    <mergeCell ref="B32:D32"/>
    <mergeCell ref="B16:M16"/>
    <mergeCell ref="B46:M46"/>
    <mergeCell ref="B23:M23"/>
    <mergeCell ref="B44:M44"/>
    <mergeCell ref="B35:D35"/>
    <mergeCell ref="B128:M128"/>
    <mergeCell ref="B106:M106"/>
    <mergeCell ref="B108:M108"/>
    <mergeCell ref="B119:M119"/>
  </mergeCells>
  <hyperlinks>
    <hyperlink ref="B136:D136" location="Intro!A1" display="◀  Intro" xr:uid="{538A4B11-CCDD-4EB2-AF3A-F8296A587539}"/>
    <hyperlink ref="F136:H136" location="'Part 2'!A1" display="Part 2  ▶" xr:uid="{3E8D7AB2-2993-4F3E-AC74-53F8B1A23F50}"/>
  </hyperlinks>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B2476-8460-4D33-88C6-CED23E68F2CE}">
  <sheetPr codeName="Sheet4"/>
  <dimension ref="B6:X65"/>
  <sheetViews>
    <sheetView showGridLines="0" zoomScaleNormal="100" workbookViewId="0">
      <selection activeCell="F65" sqref="F65:H65"/>
    </sheetView>
  </sheetViews>
  <sheetFormatPr defaultColWidth="9.140625" defaultRowHeight="15" x14ac:dyDescent="0.25"/>
  <sheetData>
    <row r="6" spans="2:24" s="4" customFormat="1" x14ac:dyDescent="0.25"/>
    <row r="7" spans="2:24" s="4" customFormat="1" x14ac:dyDescent="0.25"/>
    <row r="8" spans="2:24" s="4" customFormat="1" ht="36" x14ac:dyDescent="0.55000000000000004">
      <c r="B8" s="7" t="s">
        <v>73</v>
      </c>
    </row>
    <row r="9" spans="2:24" s="4" customFormat="1" x14ac:dyDescent="0.25"/>
    <row r="10" spans="2:24" s="4" customFormat="1" ht="21" x14ac:dyDescent="0.35">
      <c r="B10" s="107" t="s">
        <v>89</v>
      </c>
      <c r="C10" s="107"/>
      <c r="D10" s="107"/>
      <c r="E10" s="107"/>
      <c r="F10" s="107"/>
      <c r="G10" s="107"/>
      <c r="H10" s="107"/>
      <c r="I10" s="107"/>
      <c r="J10" s="107"/>
      <c r="K10" s="107"/>
      <c r="L10" s="107"/>
      <c r="M10" s="107"/>
      <c r="N10" s="107"/>
      <c r="O10" s="107"/>
      <c r="P10" s="107"/>
      <c r="Q10" s="107"/>
      <c r="R10" s="107"/>
      <c r="S10" s="107"/>
      <c r="T10" s="107"/>
      <c r="U10" s="107"/>
      <c r="V10" s="107"/>
      <c r="W10" s="107"/>
      <c r="X10" s="107"/>
    </row>
    <row r="11" spans="2:24" s="4" customFormat="1" ht="3" customHeight="1" x14ac:dyDescent="0.35">
      <c r="B11" s="108"/>
      <c r="C11" s="108"/>
      <c r="D11" s="108"/>
      <c r="E11" s="108"/>
      <c r="F11" s="108"/>
      <c r="G11" s="108"/>
      <c r="H11" s="108"/>
      <c r="I11" s="108"/>
      <c r="J11" s="108"/>
      <c r="K11" s="108"/>
      <c r="L11" s="108"/>
      <c r="M11" s="108"/>
      <c r="N11" s="108"/>
      <c r="O11" s="108"/>
      <c r="P11" s="108"/>
      <c r="Q11" s="108"/>
      <c r="R11" s="108"/>
      <c r="S11" s="108"/>
      <c r="T11" s="108"/>
      <c r="U11" s="108"/>
      <c r="V11" s="108"/>
      <c r="W11" s="108"/>
      <c r="X11" s="108"/>
    </row>
    <row r="12" spans="2:24" ht="15.75" thickBot="1" x14ac:dyDescent="0.3"/>
    <row r="13" spans="2:24" s="4" customFormat="1" ht="19.5" thickBot="1" x14ac:dyDescent="0.35">
      <c r="B13" s="8" t="s">
        <v>10</v>
      </c>
      <c r="C13" s="9" t="str">
        <f>REPT("★", MIN(B14, 5)) &amp; REPT("☆", 5 - MIN(B14, 5)) &amp; IF(B14 &gt; 5, "+", "")</f>
        <v>★★☆☆☆</v>
      </c>
      <c r="E13"/>
      <c r="F13"/>
      <c r="G13"/>
      <c r="H13"/>
    </row>
    <row r="14" spans="2:24" s="4" customFormat="1" ht="6.95" customHeight="1" thickBot="1" x14ac:dyDescent="0.3">
      <c r="B14" s="10">
        <v>2</v>
      </c>
    </row>
    <row r="15" spans="2:24" s="4" customFormat="1" ht="15" customHeight="1" x14ac:dyDescent="0.25">
      <c r="B15" s="112" t="s">
        <v>75</v>
      </c>
      <c r="C15" s="113"/>
      <c r="D15" s="113"/>
      <c r="E15" s="113"/>
      <c r="F15" s="113"/>
      <c r="G15" s="113"/>
      <c r="H15" s="113"/>
      <c r="I15" s="113"/>
      <c r="J15" s="113"/>
      <c r="K15" s="113"/>
      <c r="L15" s="113"/>
      <c r="M15" s="114"/>
    </row>
    <row r="16" spans="2:24" s="4" customFormat="1" ht="6.95" customHeight="1" x14ac:dyDescent="0.25">
      <c r="B16" s="121"/>
      <c r="C16" s="122"/>
      <c r="D16" s="122"/>
      <c r="E16" s="122"/>
      <c r="F16" s="122"/>
      <c r="G16" s="122"/>
      <c r="H16" s="122"/>
      <c r="I16" s="122"/>
      <c r="J16" s="122"/>
      <c r="K16" s="122"/>
      <c r="L16" s="122"/>
      <c r="M16" s="123"/>
    </row>
    <row r="17" spans="2:24" s="4" customFormat="1" ht="15" customHeight="1" x14ac:dyDescent="0.25">
      <c r="B17" s="121" t="s">
        <v>107</v>
      </c>
      <c r="C17" s="122"/>
      <c r="D17" s="122"/>
      <c r="E17" s="122"/>
      <c r="F17" s="122"/>
      <c r="G17" s="122"/>
      <c r="H17" s="122"/>
      <c r="I17" s="122"/>
      <c r="J17" s="122"/>
      <c r="K17" s="122"/>
      <c r="L17" s="122"/>
      <c r="M17" s="123"/>
    </row>
    <row r="18" spans="2:24" s="4" customFormat="1" ht="6.95" customHeight="1" x14ac:dyDescent="0.25">
      <c r="B18" s="121"/>
      <c r="C18" s="122"/>
      <c r="D18" s="122"/>
      <c r="E18" s="122"/>
      <c r="F18" s="122"/>
      <c r="G18" s="122"/>
      <c r="H18" s="122"/>
      <c r="I18" s="122"/>
      <c r="J18" s="122"/>
      <c r="K18" s="122"/>
      <c r="L18" s="122"/>
      <c r="M18" s="123"/>
    </row>
    <row r="19" spans="2:24" s="4" customFormat="1" ht="30" customHeight="1" x14ac:dyDescent="0.25">
      <c r="B19" s="121" t="s">
        <v>108</v>
      </c>
      <c r="C19" s="122"/>
      <c r="D19" s="122"/>
      <c r="E19" s="122"/>
      <c r="F19" s="122"/>
      <c r="G19" s="122"/>
      <c r="H19" s="122"/>
      <c r="I19" s="122"/>
      <c r="J19" s="122"/>
      <c r="K19" s="122"/>
      <c r="L19" s="122"/>
      <c r="M19" s="123"/>
    </row>
    <row r="20" spans="2:24" s="4" customFormat="1" ht="6.95" customHeight="1" x14ac:dyDescent="0.25">
      <c r="B20" s="121"/>
      <c r="C20" s="122"/>
      <c r="D20" s="122"/>
      <c r="E20" s="122"/>
      <c r="F20" s="122"/>
      <c r="G20" s="122"/>
      <c r="H20" s="122"/>
      <c r="I20" s="122"/>
      <c r="J20" s="122"/>
      <c r="K20" s="122"/>
      <c r="L20" s="122"/>
      <c r="M20" s="123"/>
    </row>
    <row r="21" spans="2:24" s="4" customFormat="1" ht="30" customHeight="1" thickBot="1" x14ac:dyDescent="0.3">
      <c r="B21" s="115" t="s">
        <v>109</v>
      </c>
      <c r="C21" s="116"/>
      <c r="D21" s="116"/>
      <c r="E21" s="116"/>
      <c r="F21" s="116"/>
      <c r="G21" s="116"/>
      <c r="H21" s="116"/>
      <c r="I21" s="116"/>
      <c r="J21" s="116"/>
      <c r="K21" s="116"/>
      <c r="L21" s="116"/>
      <c r="M21" s="117"/>
    </row>
    <row r="25" spans="2:24" s="4" customFormat="1" ht="21" x14ac:dyDescent="0.35">
      <c r="B25" s="107" t="s">
        <v>92</v>
      </c>
      <c r="C25" s="107"/>
      <c r="D25" s="107"/>
      <c r="E25" s="107"/>
      <c r="F25" s="107"/>
      <c r="G25" s="107"/>
      <c r="H25" s="107"/>
      <c r="I25" s="107"/>
      <c r="J25" s="107"/>
      <c r="K25" s="107"/>
      <c r="L25" s="107"/>
      <c r="M25" s="107"/>
      <c r="N25" s="107"/>
      <c r="O25" s="107"/>
      <c r="P25" s="107"/>
      <c r="Q25" s="107"/>
      <c r="R25" s="107"/>
      <c r="S25" s="107"/>
      <c r="T25" s="107"/>
      <c r="U25" s="107"/>
      <c r="V25" s="107"/>
      <c r="W25" s="107"/>
      <c r="X25" s="107"/>
    </row>
    <row r="26" spans="2:24" s="4" customFormat="1" ht="3" customHeight="1" x14ac:dyDescent="0.35">
      <c r="B26" s="108"/>
      <c r="C26" s="108"/>
      <c r="D26" s="108"/>
      <c r="E26" s="108"/>
      <c r="F26" s="108"/>
      <c r="G26" s="108"/>
      <c r="H26" s="108"/>
      <c r="I26" s="108"/>
      <c r="J26" s="108"/>
      <c r="K26" s="108"/>
      <c r="L26" s="108"/>
      <c r="M26" s="108"/>
      <c r="N26" s="108"/>
      <c r="O26" s="108"/>
      <c r="P26" s="108"/>
      <c r="Q26" s="108"/>
      <c r="R26" s="108"/>
      <c r="S26" s="108"/>
      <c r="T26" s="108"/>
      <c r="U26" s="108"/>
      <c r="V26" s="108"/>
      <c r="W26" s="108"/>
      <c r="X26" s="108"/>
    </row>
    <row r="27" spans="2:24" ht="15.75" thickBot="1" x14ac:dyDescent="0.3"/>
    <row r="28" spans="2:24" s="4" customFormat="1" ht="19.5" thickBot="1" x14ac:dyDescent="0.35">
      <c r="B28" s="8" t="s">
        <v>8</v>
      </c>
      <c r="C28" s="9" t="str">
        <f>REPT("★", MIN(B29, 5)) &amp; REPT("☆", 5 - MIN(B29, 5)) &amp; IF(B29 &gt; 5, "+", "")</f>
        <v>★★☆☆☆</v>
      </c>
      <c r="E28"/>
      <c r="F28"/>
      <c r="G28"/>
      <c r="H28"/>
    </row>
    <row r="29" spans="2:24" s="4" customFormat="1" ht="6.95" customHeight="1" thickBot="1" x14ac:dyDescent="0.3">
      <c r="B29" s="10">
        <v>2</v>
      </c>
    </row>
    <row r="30" spans="2:24" s="4" customFormat="1" ht="30" customHeight="1" x14ac:dyDescent="0.25">
      <c r="B30" s="112" t="s">
        <v>110</v>
      </c>
      <c r="C30" s="113"/>
      <c r="D30" s="113"/>
      <c r="E30" s="113"/>
      <c r="F30" s="113"/>
      <c r="G30" s="113"/>
      <c r="H30" s="113"/>
      <c r="I30" s="113"/>
      <c r="J30" s="113"/>
      <c r="K30" s="113"/>
      <c r="L30" s="113"/>
      <c r="M30" s="114"/>
    </row>
    <row r="31" spans="2:24" s="4" customFormat="1" ht="6.95" customHeight="1" x14ac:dyDescent="0.25">
      <c r="B31" s="121"/>
      <c r="C31" s="122"/>
      <c r="D31" s="122"/>
      <c r="E31" s="122"/>
      <c r="F31" s="122"/>
      <c r="G31" s="122"/>
      <c r="H31" s="122"/>
      <c r="I31" s="122"/>
      <c r="J31" s="122"/>
      <c r="K31" s="122"/>
      <c r="L31" s="122"/>
      <c r="M31" s="123"/>
    </row>
    <row r="32" spans="2:24" s="4" customFormat="1" ht="15" customHeight="1" thickBot="1" x14ac:dyDescent="0.3">
      <c r="B32" s="115" t="s">
        <v>93</v>
      </c>
      <c r="C32" s="116"/>
      <c r="D32" s="116"/>
      <c r="E32" s="116"/>
      <c r="F32" s="116"/>
      <c r="G32" s="116"/>
      <c r="H32" s="116"/>
      <c r="I32" s="116"/>
      <c r="J32" s="116"/>
      <c r="K32" s="116"/>
      <c r="L32" s="116"/>
      <c r="M32" s="117"/>
    </row>
    <row r="33" spans="2:24" s="4" customFormat="1" ht="6.95" customHeight="1" x14ac:dyDescent="0.25"/>
    <row r="34" spans="2:24" s="4" customFormat="1" ht="15" customHeight="1" x14ac:dyDescent="0.25">
      <c r="B34" s="5" t="s">
        <v>55</v>
      </c>
    </row>
    <row r="35" spans="2:24" ht="6.95" customHeight="1" x14ac:dyDescent="0.25"/>
    <row r="39" spans="2:24" s="4" customFormat="1" ht="21" x14ac:dyDescent="0.35">
      <c r="B39" s="107" t="s">
        <v>90</v>
      </c>
      <c r="C39" s="107"/>
      <c r="D39" s="107"/>
      <c r="E39" s="107"/>
      <c r="F39" s="107"/>
      <c r="G39" s="107"/>
      <c r="H39" s="107"/>
      <c r="I39" s="107"/>
      <c r="J39" s="107"/>
      <c r="K39" s="107"/>
      <c r="L39" s="107"/>
      <c r="M39" s="107"/>
      <c r="N39" s="107"/>
      <c r="O39" s="107"/>
      <c r="P39" s="107"/>
      <c r="Q39" s="107"/>
      <c r="R39" s="107"/>
      <c r="S39" s="107"/>
      <c r="T39" s="107"/>
      <c r="U39" s="107"/>
      <c r="V39" s="107"/>
      <c r="W39" s="107"/>
      <c r="X39" s="107"/>
    </row>
    <row r="40" spans="2:24" s="4" customFormat="1" ht="3" customHeight="1" x14ac:dyDescent="0.35">
      <c r="B40" s="108"/>
      <c r="C40" s="108"/>
      <c r="D40" s="108"/>
      <c r="E40" s="108"/>
      <c r="F40" s="108"/>
      <c r="G40" s="108"/>
      <c r="H40" s="108"/>
      <c r="I40" s="108"/>
      <c r="J40" s="108"/>
      <c r="K40" s="108"/>
      <c r="L40" s="108"/>
      <c r="M40" s="108"/>
      <c r="N40" s="108"/>
      <c r="O40" s="108"/>
      <c r="P40" s="108"/>
      <c r="Q40" s="108"/>
      <c r="R40" s="108"/>
      <c r="S40" s="108"/>
      <c r="T40" s="108"/>
      <c r="U40" s="108"/>
      <c r="V40" s="108"/>
      <c r="W40" s="108"/>
      <c r="X40" s="108"/>
    </row>
    <row r="41" spans="2:24" ht="15.75" thickBot="1" x14ac:dyDescent="0.3"/>
    <row r="42" spans="2:24" s="4" customFormat="1" ht="19.5" thickBot="1" x14ac:dyDescent="0.35">
      <c r="B42" s="8" t="s">
        <v>12</v>
      </c>
      <c r="C42" s="9" t="str">
        <f>REPT("★", MIN(B43, 5)) &amp; REPT("☆", 5 - MIN(B43, 5)) &amp; IF(B43 &gt; 5, "+", "")</f>
        <v>★★★☆☆</v>
      </c>
      <c r="E42"/>
      <c r="F42"/>
      <c r="G42"/>
      <c r="H42"/>
    </row>
    <row r="43" spans="2:24" s="4" customFormat="1" ht="6.95" customHeight="1" thickBot="1" x14ac:dyDescent="0.3">
      <c r="B43" s="10">
        <v>3</v>
      </c>
    </row>
    <row r="44" spans="2:24" s="4" customFormat="1" ht="30" customHeight="1" x14ac:dyDescent="0.25">
      <c r="B44" s="112" t="s">
        <v>112</v>
      </c>
      <c r="C44" s="113"/>
      <c r="D44" s="113"/>
      <c r="E44" s="113"/>
      <c r="F44" s="113"/>
      <c r="G44" s="113"/>
      <c r="H44" s="113"/>
      <c r="I44" s="113"/>
      <c r="J44" s="113"/>
      <c r="K44" s="113"/>
      <c r="L44" s="113"/>
      <c r="M44" s="114"/>
    </row>
    <row r="45" spans="2:24" s="4" customFormat="1" ht="6.95" customHeight="1" x14ac:dyDescent="0.25">
      <c r="B45" s="14"/>
      <c r="C45" s="15"/>
      <c r="D45" s="15"/>
      <c r="E45" s="15"/>
      <c r="F45" s="15"/>
      <c r="G45" s="15"/>
      <c r="H45" s="15"/>
      <c r="I45" s="15"/>
      <c r="J45" s="15"/>
      <c r="K45" s="15"/>
      <c r="L45" s="15"/>
      <c r="M45" s="16"/>
    </row>
    <row r="46" spans="2:24" s="4" customFormat="1" ht="15" customHeight="1" x14ac:dyDescent="0.25">
      <c r="B46" s="121" t="s">
        <v>113</v>
      </c>
      <c r="C46" s="122"/>
      <c r="D46" s="122"/>
      <c r="E46" s="122"/>
      <c r="F46" s="122"/>
      <c r="G46" s="122"/>
      <c r="H46" s="122"/>
      <c r="I46" s="122"/>
      <c r="J46" s="122"/>
      <c r="K46" s="122"/>
      <c r="L46" s="122"/>
      <c r="M46" s="123"/>
    </row>
    <row r="47" spans="2:24" s="4" customFormat="1" ht="6.95" customHeight="1" x14ac:dyDescent="0.25">
      <c r="B47" s="121"/>
      <c r="C47" s="122"/>
      <c r="D47" s="122"/>
      <c r="E47" s="122"/>
      <c r="F47" s="122"/>
      <c r="G47" s="122"/>
      <c r="H47" s="122"/>
      <c r="I47" s="122"/>
      <c r="J47" s="122"/>
      <c r="K47" s="122"/>
      <c r="L47" s="122"/>
      <c r="M47" s="123"/>
    </row>
    <row r="48" spans="2:24" s="4" customFormat="1" ht="15" customHeight="1" thickBot="1" x14ac:dyDescent="0.3">
      <c r="B48" s="115" t="s">
        <v>114</v>
      </c>
      <c r="C48" s="116"/>
      <c r="D48" s="116"/>
      <c r="E48" s="116"/>
      <c r="F48" s="116"/>
      <c r="G48" s="116"/>
      <c r="H48" s="116"/>
      <c r="I48" s="116"/>
      <c r="J48" s="116"/>
      <c r="K48" s="116"/>
      <c r="L48" s="116"/>
      <c r="M48" s="117"/>
    </row>
    <row r="49" spans="2:13" s="4" customFormat="1" ht="6.95" customHeight="1" x14ac:dyDescent="0.25"/>
    <row r="50" spans="2:13" s="4" customFormat="1" ht="15" customHeight="1" x14ac:dyDescent="0.25">
      <c r="B50" s="5" t="s">
        <v>55</v>
      </c>
    </row>
    <row r="51" spans="2:13" ht="6.95" customHeight="1" x14ac:dyDescent="0.25"/>
    <row r="52" spans="2:13" s="4" customFormat="1" ht="15" customHeight="1" x14ac:dyDescent="0.25">
      <c r="B52" s="5" t="s">
        <v>56</v>
      </c>
    </row>
    <row r="53" spans="2:13" ht="6.95" customHeight="1" x14ac:dyDescent="0.25"/>
    <row r="54" spans="2:13" s="4" customFormat="1" ht="15" customHeight="1" x14ac:dyDescent="0.25">
      <c r="B54" s="5" t="s">
        <v>91</v>
      </c>
    </row>
    <row r="55" spans="2:13" ht="6.95" customHeight="1" x14ac:dyDescent="0.25"/>
    <row r="56" spans="2:13" s="4" customFormat="1" ht="15" customHeight="1" thickBot="1" x14ac:dyDescent="0.3">
      <c r="B56" s="12" t="s">
        <v>132</v>
      </c>
    </row>
    <row r="57" spans="2:13" s="4" customFormat="1" ht="15.75" customHeight="1" thickTop="1" x14ac:dyDescent="0.25">
      <c r="B57" s="130"/>
      <c r="C57" s="131"/>
      <c r="D57" s="131"/>
      <c r="E57" s="131"/>
      <c r="F57" s="131"/>
      <c r="G57" s="131"/>
      <c r="H57" s="131"/>
      <c r="I57" s="131"/>
      <c r="J57" s="131"/>
      <c r="K57" s="131"/>
      <c r="L57" s="131"/>
      <c r="M57" s="132"/>
    </row>
    <row r="58" spans="2:13" s="4" customFormat="1" ht="15.75" customHeight="1" x14ac:dyDescent="0.25">
      <c r="B58" s="133"/>
      <c r="C58" s="134"/>
      <c r="D58" s="134"/>
      <c r="E58" s="134"/>
      <c r="F58" s="134"/>
      <c r="G58" s="134"/>
      <c r="H58" s="134"/>
      <c r="I58" s="134"/>
      <c r="J58" s="134"/>
      <c r="K58" s="134"/>
      <c r="L58" s="134"/>
      <c r="M58" s="135"/>
    </row>
    <row r="59" spans="2:13" s="4" customFormat="1" ht="15.75" customHeight="1" thickBot="1" x14ac:dyDescent="0.3">
      <c r="B59" s="136"/>
      <c r="C59" s="137"/>
      <c r="D59" s="137"/>
      <c r="E59" s="137"/>
      <c r="F59" s="137"/>
      <c r="G59" s="137"/>
      <c r="H59" s="137"/>
      <c r="I59" s="137"/>
      <c r="J59" s="137"/>
      <c r="K59" s="137"/>
      <c r="L59" s="137"/>
      <c r="M59" s="138"/>
    </row>
    <row r="60" spans="2:13" ht="15.75" thickTop="1" x14ac:dyDescent="0.25"/>
    <row r="65" spans="2:8" ht="23.25" x14ac:dyDescent="0.35">
      <c r="B65" s="111" t="s">
        <v>261</v>
      </c>
      <c r="C65" s="111"/>
      <c r="D65" s="111"/>
      <c r="F65" s="111" t="s">
        <v>262</v>
      </c>
      <c r="G65" s="111"/>
      <c r="H65" s="111"/>
    </row>
  </sheetData>
  <mergeCells count="23">
    <mergeCell ref="B48:M48"/>
    <mergeCell ref="B25:X25"/>
    <mergeCell ref="B26:X26"/>
    <mergeCell ref="B30:M30"/>
    <mergeCell ref="B31:M31"/>
    <mergeCell ref="B32:M32"/>
    <mergeCell ref="B40:X40"/>
    <mergeCell ref="B65:D65"/>
    <mergeCell ref="F65:H65"/>
    <mergeCell ref="B57:M59"/>
    <mergeCell ref="B10:X10"/>
    <mergeCell ref="B11:X11"/>
    <mergeCell ref="B15:M15"/>
    <mergeCell ref="B20:M20"/>
    <mergeCell ref="B21:M21"/>
    <mergeCell ref="B18:M18"/>
    <mergeCell ref="B19:M19"/>
    <mergeCell ref="B16:M16"/>
    <mergeCell ref="B17:M17"/>
    <mergeCell ref="B39:X39"/>
    <mergeCell ref="B44:M44"/>
    <mergeCell ref="B46:M46"/>
    <mergeCell ref="B47:M47"/>
  </mergeCells>
  <hyperlinks>
    <hyperlink ref="B65:D65" location="'Part 1'!A1" display="◀  Part 1" xr:uid="{A117D0E7-EB4A-4A51-956A-00133E5DEDAA}"/>
    <hyperlink ref="F65:H65" location="'Part 3'!A1" display="Part 3  ▶" xr:uid="{F3506E57-BCBE-4AD2-8DA1-A457AE052327}"/>
  </hyperlink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D4403-DFDF-49C2-99BF-D3456932220D}">
  <sheetPr codeName="Sheet5"/>
  <dimension ref="B6:X111"/>
  <sheetViews>
    <sheetView showGridLines="0" zoomScaleNormal="100" workbookViewId="0">
      <selection activeCell="B81" sqref="B81"/>
    </sheetView>
  </sheetViews>
  <sheetFormatPr defaultColWidth="9.140625" defaultRowHeight="15" x14ac:dyDescent="0.25"/>
  <cols>
    <col min="2" max="3" width="9.140625" customWidth="1"/>
  </cols>
  <sheetData>
    <row r="6" spans="2:24" s="4" customFormat="1" x14ac:dyDescent="0.25"/>
    <row r="7" spans="2:24" s="4" customFormat="1" x14ac:dyDescent="0.25"/>
    <row r="8" spans="2:24" s="4" customFormat="1" ht="36" x14ac:dyDescent="0.55000000000000004">
      <c r="B8" s="7" t="s">
        <v>94</v>
      </c>
    </row>
    <row r="9" spans="2:24" s="4" customFormat="1" x14ac:dyDescent="0.25"/>
    <row r="11" spans="2:24" s="4" customFormat="1" x14ac:dyDescent="0.25"/>
    <row r="12" spans="2:24" s="4" customFormat="1" x14ac:dyDescent="0.25"/>
    <row r="13" spans="2:24" s="4" customFormat="1" x14ac:dyDescent="0.25"/>
    <row r="14" spans="2:24" s="4" customFormat="1" x14ac:dyDescent="0.25"/>
    <row r="15" spans="2:24" s="4" customFormat="1" ht="21" x14ac:dyDescent="0.35">
      <c r="B15" s="107" t="s">
        <v>97</v>
      </c>
      <c r="C15" s="107"/>
      <c r="D15" s="107"/>
      <c r="E15" s="107"/>
      <c r="F15" s="107"/>
      <c r="G15" s="107"/>
      <c r="H15" s="107"/>
      <c r="I15" s="107"/>
      <c r="J15" s="107"/>
      <c r="K15" s="107"/>
      <c r="L15" s="107"/>
      <c r="M15" s="107"/>
      <c r="N15" s="107"/>
      <c r="O15" s="107"/>
      <c r="P15" s="107"/>
      <c r="Q15" s="107"/>
      <c r="R15" s="107"/>
      <c r="S15" s="107"/>
      <c r="T15" s="107"/>
      <c r="U15" s="107"/>
      <c r="V15" s="107"/>
      <c r="W15" s="107"/>
      <c r="X15" s="107"/>
    </row>
    <row r="16" spans="2:24" s="4" customFormat="1" ht="3" customHeight="1" x14ac:dyDescent="0.35">
      <c r="B16" s="108"/>
      <c r="C16" s="108"/>
      <c r="D16" s="108"/>
      <c r="E16" s="108"/>
      <c r="F16" s="108"/>
      <c r="G16" s="108"/>
      <c r="H16" s="108"/>
      <c r="I16" s="108"/>
      <c r="J16" s="108"/>
      <c r="K16" s="108"/>
      <c r="L16" s="108"/>
      <c r="M16" s="108"/>
      <c r="N16" s="108"/>
      <c r="O16" s="108"/>
      <c r="P16" s="108"/>
      <c r="Q16" s="108"/>
      <c r="R16" s="108"/>
      <c r="S16" s="108"/>
      <c r="T16" s="108"/>
      <c r="U16" s="108"/>
      <c r="V16" s="108"/>
      <c r="W16" s="108"/>
      <c r="X16" s="108"/>
    </row>
    <row r="17" spans="2:13" ht="15.75" thickBot="1" x14ac:dyDescent="0.3"/>
    <row r="18" spans="2:13" s="4" customFormat="1" ht="19.5" thickBot="1" x14ac:dyDescent="0.35">
      <c r="B18" s="8" t="s">
        <v>4</v>
      </c>
      <c r="C18" s="9" t="str">
        <f>REPT("★", MIN(B19, 5)) &amp; REPT("☆", 5 - MIN(B19, 5)) &amp; IF(B19 &gt; 5, "+", "")</f>
        <v>★★☆☆☆</v>
      </c>
      <c r="E18"/>
      <c r="F18"/>
      <c r="G18"/>
      <c r="H18"/>
    </row>
    <row r="19" spans="2:13" s="4" customFormat="1" ht="6.95" customHeight="1" thickBot="1" x14ac:dyDescent="0.3">
      <c r="B19" s="10">
        <v>2</v>
      </c>
    </row>
    <row r="20" spans="2:13" s="4" customFormat="1" ht="15" customHeight="1" thickBot="1" x14ac:dyDescent="0.3">
      <c r="B20" s="124" t="s">
        <v>106</v>
      </c>
      <c r="C20" s="125"/>
      <c r="D20" s="125"/>
      <c r="E20" s="125"/>
      <c r="F20" s="125"/>
      <c r="G20" s="125"/>
      <c r="H20" s="125"/>
      <c r="I20" s="125"/>
      <c r="J20" s="125"/>
      <c r="K20" s="125"/>
      <c r="L20" s="125"/>
      <c r="M20" s="126"/>
    </row>
    <row r="21" spans="2:13" ht="6.95" customHeight="1" x14ac:dyDescent="0.25"/>
    <row r="22" spans="2:13" s="4" customFormat="1" ht="15" customHeight="1" x14ac:dyDescent="0.25">
      <c r="B22" s="5" t="s">
        <v>9</v>
      </c>
    </row>
    <row r="23" spans="2:13" ht="6.95" customHeight="1" thickBot="1" x14ac:dyDescent="0.3"/>
    <row r="24" spans="2:13" s="4" customFormat="1" ht="15.75" customHeight="1" thickTop="1" thickBot="1" x14ac:dyDescent="0.3">
      <c r="B24" s="118"/>
      <c r="C24" s="119"/>
      <c r="D24" s="120"/>
      <c r="E24"/>
      <c r="G24" s="13"/>
    </row>
    <row r="25" spans="2:13" ht="15.75" thickTop="1" x14ac:dyDescent="0.25"/>
    <row r="27" spans="2:13" ht="15.75" thickBot="1" x14ac:dyDescent="0.3"/>
    <row r="28" spans="2:13" s="4" customFormat="1" ht="19.5" thickBot="1" x14ac:dyDescent="0.35">
      <c r="B28" s="8" t="s">
        <v>11</v>
      </c>
      <c r="C28" s="9" t="str">
        <f>REPT("★", MIN(B29, 5)) &amp; REPT("☆", 5 - MIN(B29, 5)) &amp; IF(B29 &gt; 5, "+", "")</f>
        <v>★★★☆☆</v>
      </c>
      <c r="E28"/>
      <c r="F28"/>
      <c r="G28"/>
      <c r="H28"/>
    </row>
    <row r="29" spans="2:13" s="4" customFormat="1" ht="6.95" customHeight="1" thickBot="1" x14ac:dyDescent="0.3">
      <c r="B29" s="10">
        <v>3</v>
      </c>
    </row>
    <row r="30" spans="2:13" s="4" customFormat="1" ht="15" customHeight="1" x14ac:dyDescent="0.25">
      <c r="B30" s="112" t="s">
        <v>98</v>
      </c>
      <c r="C30" s="113"/>
      <c r="D30" s="113"/>
      <c r="E30" s="113"/>
      <c r="F30" s="113"/>
      <c r="G30" s="113"/>
      <c r="H30" s="113"/>
      <c r="I30" s="113"/>
      <c r="J30" s="113"/>
      <c r="K30" s="113"/>
      <c r="L30" s="113"/>
      <c r="M30" s="114"/>
    </row>
    <row r="31" spans="2:13" s="4" customFormat="1" ht="6.95" customHeight="1" x14ac:dyDescent="0.25">
      <c r="B31" s="121"/>
      <c r="C31" s="122"/>
      <c r="D31" s="122"/>
      <c r="E31" s="122"/>
      <c r="F31" s="122"/>
      <c r="G31" s="122"/>
      <c r="H31" s="122"/>
      <c r="I31" s="122"/>
      <c r="J31" s="122"/>
      <c r="K31" s="122"/>
      <c r="L31" s="122"/>
      <c r="M31" s="123"/>
    </row>
    <row r="32" spans="2:13" s="4" customFormat="1" ht="15" customHeight="1" thickBot="1" x14ac:dyDescent="0.3">
      <c r="B32" s="115" t="s">
        <v>277</v>
      </c>
      <c r="C32" s="116"/>
      <c r="D32" s="116"/>
      <c r="E32" s="116"/>
      <c r="F32" s="116"/>
      <c r="G32" s="116"/>
      <c r="H32" s="116"/>
      <c r="I32" s="116"/>
      <c r="J32" s="116"/>
      <c r="K32" s="116"/>
      <c r="L32" s="116"/>
      <c r="M32" s="117"/>
    </row>
    <row r="33" spans="2:24" ht="6.95" customHeight="1" x14ac:dyDescent="0.25"/>
    <row r="34" spans="2:24" s="4" customFormat="1" ht="15" customHeight="1" x14ac:dyDescent="0.25">
      <c r="B34" s="5" t="s">
        <v>55</v>
      </c>
    </row>
    <row r="35" spans="2:24" ht="6.95" customHeight="1" x14ac:dyDescent="0.25"/>
    <row r="36" spans="2:24" s="4" customFormat="1" ht="15" customHeight="1" x14ac:dyDescent="0.25">
      <c r="B36" s="5" t="s">
        <v>56</v>
      </c>
    </row>
    <row r="37" spans="2:24" ht="6.95" customHeight="1" x14ac:dyDescent="0.25"/>
    <row r="38" spans="2:24" s="4" customFormat="1" ht="15.75" customHeight="1" x14ac:dyDescent="0.25">
      <c r="B38" s="49" t="s">
        <v>99</v>
      </c>
    </row>
    <row r="39" spans="2:24" s="4" customFormat="1" ht="15" customHeight="1" thickBot="1" x14ac:dyDescent="0.3">
      <c r="B39" s="12" t="s">
        <v>177</v>
      </c>
      <c r="E39"/>
      <c r="F39" s="12" t="s">
        <v>102</v>
      </c>
    </row>
    <row r="40" spans="2:24" s="4" customFormat="1" ht="15.75" customHeight="1" thickTop="1" thickBot="1" x14ac:dyDescent="0.3">
      <c r="B40" s="127"/>
      <c r="C40" s="128"/>
      <c r="D40" s="129"/>
      <c r="E40"/>
      <c r="F40" s="118"/>
      <c r="G40" s="119"/>
      <c r="H40" s="120"/>
    </row>
    <row r="41" spans="2:24" s="4" customFormat="1" ht="6.95" customHeight="1" thickTop="1" x14ac:dyDescent="0.25"/>
    <row r="42" spans="2:24" s="4" customFormat="1" ht="15.75" customHeight="1" x14ac:dyDescent="0.25">
      <c r="B42" s="49" t="s">
        <v>100</v>
      </c>
    </row>
    <row r="43" spans="2:24" s="4" customFormat="1" ht="15" customHeight="1" thickBot="1" x14ac:dyDescent="0.3">
      <c r="B43" s="12" t="s">
        <v>177</v>
      </c>
      <c r="E43"/>
      <c r="F43" s="12" t="s">
        <v>102</v>
      </c>
    </row>
    <row r="44" spans="2:24" s="4" customFormat="1" ht="15.75" customHeight="1" thickTop="1" thickBot="1" x14ac:dyDescent="0.3">
      <c r="B44" s="127"/>
      <c r="C44" s="128"/>
      <c r="D44" s="129"/>
      <c r="E44"/>
      <c r="F44" s="118"/>
      <c r="G44" s="119"/>
      <c r="H44" s="120"/>
    </row>
    <row r="45" spans="2:24" ht="15.75" thickTop="1" x14ac:dyDescent="0.25"/>
    <row r="48" spans="2:24" s="4" customFormat="1" ht="21" x14ac:dyDescent="0.35">
      <c r="B48" s="107" t="s">
        <v>103</v>
      </c>
      <c r="C48" s="107"/>
      <c r="D48" s="107"/>
      <c r="E48" s="107"/>
      <c r="F48" s="107"/>
      <c r="G48" s="107"/>
      <c r="H48" s="107"/>
      <c r="I48" s="107"/>
      <c r="J48" s="107"/>
      <c r="K48" s="107"/>
      <c r="L48" s="107"/>
      <c r="M48" s="107"/>
      <c r="N48" s="107"/>
      <c r="O48" s="107"/>
      <c r="P48" s="107"/>
      <c r="Q48" s="107"/>
      <c r="R48" s="107"/>
      <c r="S48" s="107"/>
      <c r="T48" s="107"/>
      <c r="U48" s="107"/>
      <c r="V48" s="107"/>
      <c r="W48" s="107"/>
      <c r="X48" s="107"/>
    </row>
    <row r="49" spans="2:24" s="4" customFormat="1" ht="3" customHeight="1" x14ac:dyDescent="0.35">
      <c r="B49" s="108"/>
      <c r="C49" s="108"/>
      <c r="D49" s="108"/>
      <c r="E49" s="108"/>
      <c r="F49" s="108"/>
      <c r="G49" s="108"/>
      <c r="H49" s="108"/>
      <c r="I49" s="108"/>
      <c r="J49" s="108"/>
      <c r="K49" s="108"/>
      <c r="L49" s="108"/>
      <c r="M49" s="108"/>
      <c r="N49" s="108"/>
      <c r="O49" s="108"/>
      <c r="P49" s="108"/>
      <c r="Q49" s="108"/>
      <c r="R49" s="108"/>
      <c r="S49" s="108"/>
      <c r="T49" s="108"/>
      <c r="U49" s="108"/>
      <c r="V49" s="108"/>
      <c r="W49" s="108"/>
      <c r="X49" s="108"/>
    </row>
    <row r="50" spans="2:24" ht="15.75" thickBot="1" x14ac:dyDescent="0.3"/>
    <row r="51" spans="2:24" s="4" customFormat="1" ht="19.5" thickBot="1" x14ac:dyDescent="0.35">
      <c r="B51" s="8" t="s">
        <v>13</v>
      </c>
      <c r="C51" s="9" t="str">
        <f>REPT("★", MIN(B52, 5)) &amp; REPT("☆", 5 - MIN(B52, 5)) &amp; IF(B52 &gt; 5, "+", "")</f>
        <v>★★★☆☆</v>
      </c>
      <c r="E51"/>
      <c r="F51"/>
      <c r="G51"/>
      <c r="H51"/>
    </row>
    <row r="52" spans="2:24" s="4" customFormat="1" ht="6.95" customHeight="1" thickBot="1" x14ac:dyDescent="0.3">
      <c r="B52" s="10">
        <v>3</v>
      </c>
    </row>
    <row r="53" spans="2:24" s="4" customFormat="1" ht="15" customHeight="1" x14ac:dyDescent="0.25">
      <c r="B53" s="112" t="s">
        <v>105</v>
      </c>
      <c r="C53" s="113"/>
      <c r="D53" s="113"/>
      <c r="E53" s="113"/>
      <c r="F53" s="113"/>
      <c r="G53" s="113"/>
      <c r="H53" s="113"/>
      <c r="I53" s="113"/>
      <c r="J53" s="113"/>
      <c r="K53" s="113"/>
      <c r="L53" s="113"/>
      <c r="M53" s="114"/>
    </row>
    <row r="54" spans="2:24" s="4" customFormat="1" ht="6.95" customHeight="1" x14ac:dyDescent="0.25">
      <c r="B54" s="121"/>
      <c r="C54" s="122"/>
      <c r="D54" s="122"/>
      <c r="E54" s="122"/>
      <c r="F54" s="122"/>
      <c r="G54" s="122"/>
      <c r="H54" s="122"/>
      <c r="I54" s="122"/>
      <c r="J54" s="122"/>
      <c r="K54" s="122"/>
      <c r="L54" s="122"/>
      <c r="M54" s="123"/>
    </row>
    <row r="55" spans="2:24" s="4" customFormat="1" ht="15" customHeight="1" thickBot="1" x14ac:dyDescent="0.3">
      <c r="B55" s="115" t="s">
        <v>206</v>
      </c>
      <c r="C55" s="116"/>
      <c r="D55" s="116"/>
      <c r="E55" s="116"/>
      <c r="F55" s="116"/>
      <c r="G55" s="116"/>
      <c r="H55" s="116"/>
      <c r="I55" s="116"/>
      <c r="J55" s="116"/>
      <c r="K55" s="116"/>
      <c r="L55" s="116"/>
      <c r="M55" s="117"/>
    </row>
    <row r="56" spans="2:24" s="4" customFormat="1" ht="6.95" customHeight="1" x14ac:dyDescent="0.25"/>
    <row r="57" spans="2:24" s="4" customFormat="1" ht="15" customHeight="1" x14ac:dyDescent="0.25">
      <c r="B57" s="5" t="s">
        <v>55</v>
      </c>
    </row>
    <row r="58" spans="2:24" ht="6.95" customHeight="1" x14ac:dyDescent="0.25"/>
    <row r="59" spans="2:24" s="4" customFormat="1" ht="15" customHeight="1" x14ac:dyDescent="0.25">
      <c r="B59" s="5" t="s">
        <v>56</v>
      </c>
    </row>
    <row r="61" spans="2:24" x14ac:dyDescent="0.25">
      <c r="B61" s="72" t="s">
        <v>125</v>
      </c>
      <c r="C61" s="73"/>
      <c r="D61" s="74" t="s">
        <v>126</v>
      </c>
    </row>
    <row r="62" spans="2:24" x14ac:dyDescent="0.25">
      <c r="B62" s="88"/>
      <c r="C62" s="76"/>
      <c r="D62" s="91"/>
    </row>
    <row r="63" spans="2:24" x14ac:dyDescent="0.25">
      <c r="B63" s="89"/>
      <c r="C63" s="79"/>
      <c r="D63" s="92"/>
    </row>
    <row r="64" spans="2:24" x14ac:dyDescent="0.25">
      <c r="B64" s="90"/>
      <c r="C64" s="83"/>
      <c r="D64" s="93"/>
    </row>
    <row r="68" spans="2:24" s="4" customFormat="1" ht="21" x14ac:dyDescent="0.35">
      <c r="B68" s="107" t="s">
        <v>104</v>
      </c>
      <c r="C68" s="107"/>
      <c r="D68" s="107"/>
      <c r="E68" s="107"/>
      <c r="F68" s="107"/>
      <c r="G68" s="107"/>
      <c r="H68" s="107"/>
      <c r="I68" s="107"/>
      <c r="J68" s="107"/>
      <c r="K68" s="107"/>
      <c r="L68" s="107"/>
      <c r="M68" s="107"/>
      <c r="N68" s="107"/>
      <c r="O68" s="107"/>
      <c r="P68" s="107"/>
      <c r="Q68" s="107"/>
      <c r="R68" s="107"/>
      <c r="S68" s="107"/>
      <c r="T68" s="107"/>
      <c r="U68" s="107"/>
      <c r="V68" s="107"/>
      <c r="W68" s="107"/>
      <c r="X68" s="107"/>
    </row>
    <row r="69" spans="2:24" s="4" customFormat="1" ht="3" customHeight="1" x14ac:dyDescent="0.35">
      <c r="B69" s="108"/>
      <c r="C69" s="108"/>
      <c r="D69" s="108"/>
      <c r="E69" s="108"/>
      <c r="F69" s="108"/>
      <c r="G69" s="108"/>
      <c r="H69" s="108"/>
      <c r="I69" s="108"/>
      <c r="J69" s="108"/>
      <c r="K69" s="108"/>
      <c r="L69" s="108"/>
      <c r="M69" s="108"/>
      <c r="N69" s="108"/>
      <c r="O69" s="108"/>
      <c r="P69" s="108"/>
      <c r="Q69" s="108"/>
      <c r="R69" s="108"/>
      <c r="S69" s="108"/>
      <c r="T69" s="108"/>
      <c r="U69" s="108"/>
      <c r="V69" s="108"/>
      <c r="W69" s="108"/>
      <c r="X69" s="108"/>
    </row>
    <row r="70" spans="2:24" ht="15.75" thickBot="1" x14ac:dyDescent="0.3"/>
    <row r="71" spans="2:24" s="4" customFormat="1" ht="19.5" thickBot="1" x14ac:dyDescent="0.35">
      <c r="B71" s="8" t="s">
        <v>96</v>
      </c>
      <c r="C71" s="9" t="str">
        <f>REPT("★", MIN(B72, 5)) &amp; REPT("☆", 5 - MIN(B72, 5)) &amp; IF(B72 &gt; 5, "+", "")</f>
        <v>★★★☆☆</v>
      </c>
      <c r="E71"/>
      <c r="F71"/>
      <c r="G71"/>
      <c r="H71"/>
    </row>
    <row r="72" spans="2:24" s="4" customFormat="1" ht="6.95" customHeight="1" thickBot="1" x14ac:dyDescent="0.3">
      <c r="B72" s="10">
        <v>3</v>
      </c>
    </row>
    <row r="73" spans="2:24" s="4" customFormat="1" ht="15" customHeight="1" x14ac:dyDescent="0.25">
      <c r="B73" s="112" t="s">
        <v>111</v>
      </c>
      <c r="C73" s="113"/>
      <c r="D73" s="113"/>
      <c r="E73" s="113"/>
      <c r="F73" s="113"/>
      <c r="G73" s="113"/>
      <c r="H73" s="113"/>
      <c r="I73" s="113"/>
      <c r="J73" s="113"/>
      <c r="K73" s="113"/>
      <c r="L73" s="113"/>
      <c r="M73" s="114"/>
    </row>
    <row r="74" spans="2:24" s="4" customFormat="1" ht="6.95" customHeight="1" x14ac:dyDescent="0.25">
      <c r="B74" s="14"/>
      <c r="C74" s="15"/>
      <c r="D74" s="15"/>
      <c r="E74" s="15"/>
      <c r="F74" s="15"/>
      <c r="G74" s="15"/>
      <c r="H74" s="15"/>
      <c r="I74" s="15"/>
      <c r="J74" s="15"/>
      <c r="K74" s="15"/>
      <c r="L74" s="15"/>
      <c r="M74" s="16"/>
    </row>
    <row r="75" spans="2:24" s="4" customFormat="1" ht="15" customHeight="1" thickBot="1" x14ac:dyDescent="0.3">
      <c r="B75" s="115" t="s">
        <v>115</v>
      </c>
      <c r="C75" s="116"/>
      <c r="D75" s="116"/>
      <c r="E75" s="116"/>
      <c r="F75" s="116"/>
      <c r="G75" s="116"/>
      <c r="H75" s="116"/>
      <c r="I75" s="116"/>
      <c r="J75" s="116"/>
      <c r="K75" s="116"/>
      <c r="L75" s="116"/>
      <c r="M75" s="117"/>
    </row>
    <row r="76" spans="2:24" s="4" customFormat="1" ht="6.95" customHeight="1" x14ac:dyDescent="0.25"/>
    <row r="77" spans="2:24" s="4" customFormat="1" ht="15" customHeight="1" x14ac:dyDescent="0.25">
      <c r="B77" s="5" t="s">
        <v>55</v>
      </c>
    </row>
    <row r="79" spans="2:24" x14ac:dyDescent="0.25">
      <c r="B79" s="72" t="s">
        <v>116</v>
      </c>
      <c r="C79" s="73"/>
      <c r="D79" s="74" t="s">
        <v>102</v>
      </c>
    </row>
    <row r="80" spans="2:24" x14ac:dyDescent="0.25">
      <c r="B80" s="75" t="s">
        <v>118</v>
      </c>
      <c r="C80" s="76"/>
      <c r="D80" s="91"/>
    </row>
    <row r="81" spans="2:13" x14ac:dyDescent="0.25">
      <c r="B81" s="78" t="s">
        <v>117</v>
      </c>
      <c r="C81" s="79"/>
      <c r="D81" s="92"/>
    </row>
    <row r="82" spans="2:13" x14ac:dyDescent="0.25">
      <c r="B82" s="75" t="s">
        <v>119</v>
      </c>
      <c r="C82" s="76"/>
      <c r="D82" s="91"/>
    </row>
    <row r="83" spans="2:13" x14ac:dyDescent="0.25">
      <c r="B83" s="81" t="s">
        <v>120</v>
      </c>
      <c r="C83" s="82"/>
      <c r="D83" s="94"/>
    </row>
    <row r="86" spans="2:13" ht="15.75" thickBot="1" x14ac:dyDescent="0.3"/>
    <row r="87" spans="2:13" s="4" customFormat="1" ht="19.5" thickBot="1" x14ac:dyDescent="0.35">
      <c r="B87" s="8" t="s">
        <v>123</v>
      </c>
      <c r="C87" s="9" t="str">
        <f>REPT("★", MIN(B88, 5)) &amp; REPT("☆", 5 - MIN(B88, 5)) &amp; IF(B88 &gt; 5, "+", "")</f>
        <v>★★★☆☆</v>
      </c>
      <c r="E87"/>
      <c r="F87"/>
      <c r="G87"/>
      <c r="H87"/>
    </row>
    <row r="88" spans="2:13" s="4" customFormat="1" ht="6.95" customHeight="1" thickBot="1" x14ac:dyDescent="0.3">
      <c r="B88" s="10">
        <v>3</v>
      </c>
    </row>
    <row r="89" spans="2:13" s="4" customFormat="1" ht="15" customHeight="1" thickBot="1" x14ac:dyDescent="0.3">
      <c r="B89" s="124" t="s">
        <v>121</v>
      </c>
      <c r="C89" s="125"/>
      <c r="D89" s="125"/>
      <c r="E89" s="125"/>
      <c r="F89" s="125"/>
      <c r="G89" s="125"/>
      <c r="H89" s="125"/>
      <c r="I89" s="125"/>
      <c r="J89" s="125"/>
      <c r="K89" s="125"/>
      <c r="L89" s="125"/>
      <c r="M89" s="126"/>
    </row>
    <row r="90" spans="2:13" s="4" customFormat="1" ht="6.95" customHeight="1" x14ac:dyDescent="0.25"/>
    <row r="91" spans="2:13" s="4" customFormat="1" ht="15" customHeight="1" x14ac:dyDescent="0.25">
      <c r="B91" s="5" t="s">
        <v>55</v>
      </c>
    </row>
    <row r="92" spans="2:13" ht="6.95" customHeight="1" x14ac:dyDescent="0.25"/>
    <row r="93" spans="2:13" s="4" customFormat="1" ht="15" customHeight="1" x14ac:dyDescent="0.25">
      <c r="B93" s="5" t="s">
        <v>56</v>
      </c>
    </row>
    <row r="94" spans="2:13" ht="6.95" customHeight="1" x14ac:dyDescent="0.25"/>
    <row r="96" spans="2:13" x14ac:dyDescent="0.25">
      <c r="B96" s="72" t="s">
        <v>124</v>
      </c>
      <c r="C96" s="74" t="s">
        <v>102</v>
      </c>
    </row>
    <row r="97" spans="2:13" x14ac:dyDescent="0.25">
      <c r="B97" s="75">
        <v>2011</v>
      </c>
      <c r="C97" s="77"/>
    </row>
    <row r="98" spans="2:13" x14ac:dyDescent="0.25">
      <c r="B98" s="78">
        <v>2012</v>
      </c>
      <c r="C98" s="80"/>
    </row>
    <row r="99" spans="2:13" x14ac:dyDescent="0.25">
      <c r="B99" s="75">
        <v>2013</v>
      </c>
      <c r="C99" s="77"/>
    </row>
    <row r="100" spans="2:13" x14ac:dyDescent="0.25">
      <c r="B100" s="81">
        <v>2014</v>
      </c>
      <c r="C100" s="35"/>
    </row>
    <row r="102" spans="2:13" s="4" customFormat="1" ht="15" customHeight="1" thickBot="1" x14ac:dyDescent="0.3">
      <c r="B102" s="12" t="s">
        <v>122</v>
      </c>
    </row>
    <row r="103" spans="2:13" s="4" customFormat="1" ht="15.75" customHeight="1" thickTop="1" x14ac:dyDescent="0.25">
      <c r="B103" s="130"/>
      <c r="C103" s="131"/>
      <c r="D103" s="131"/>
      <c r="E103" s="131"/>
      <c r="F103" s="131"/>
      <c r="G103" s="131"/>
      <c r="H103" s="131"/>
      <c r="I103" s="131"/>
      <c r="J103" s="131"/>
      <c r="K103" s="131"/>
      <c r="L103" s="131"/>
      <c r="M103" s="132"/>
    </row>
    <row r="104" spans="2:13" s="4" customFormat="1" ht="15.75" customHeight="1" x14ac:dyDescent="0.25">
      <c r="B104" s="133"/>
      <c r="C104" s="134"/>
      <c r="D104" s="134"/>
      <c r="E104" s="134"/>
      <c r="F104" s="134"/>
      <c r="G104" s="134"/>
      <c r="H104" s="134"/>
      <c r="I104" s="134"/>
      <c r="J104" s="134"/>
      <c r="K104" s="134"/>
      <c r="L104" s="134"/>
      <c r="M104" s="135"/>
    </row>
    <row r="105" spans="2:13" s="4" customFormat="1" ht="15.75" customHeight="1" thickBot="1" x14ac:dyDescent="0.3">
      <c r="B105" s="136"/>
      <c r="C105" s="137"/>
      <c r="D105" s="137"/>
      <c r="E105" s="137"/>
      <c r="F105" s="137"/>
      <c r="G105" s="137"/>
      <c r="H105" s="137"/>
      <c r="I105" s="137"/>
      <c r="J105" s="137"/>
      <c r="K105" s="137"/>
      <c r="L105" s="137"/>
      <c r="M105" s="138"/>
    </row>
    <row r="106" spans="2:13" ht="15.75" thickTop="1" x14ac:dyDescent="0.25"/>
    <row r="111" spans="2:13" ht="23.25" x14ac:dyDescent="0.35">
      <c r="B111" s="111" t="s">
        <v>263</v>
      </c>
      <c r="C111" s="111"/>
      <c r="D111" s="111"/>
      <c r="F111" s="111" t="s">
        <v>264</v>
      </c>
      <c r="G111" s="111"/>
      <c r="H111" s="111"/>
    </row>
  </sheetData>
  <mergeCells count="24">
    <mergeCell ref="B15:X15"/>
    <mergeCell ref="B16:X16"/>
    <mergeCell ref="B20:M20"/>
    <mergeCell ref="B24:D24"/>
    <mergeCell ref="B30:M30"/>
    <mergeCell ref="B32:M32"/>
    <mergeCell ref="B31:M31"/>
    <mergeCell ref="B40:D40"/>
    <mergeCell ref="B75:M75"/>
    <mergeCell ref="B68:X68"/>
    <mergeCell ref="B69:X69"/>
    <mergeCell ref="B73:M73"/>
    <mergeCell ref="B54:M54"/>
    <mergeCell ref="B55:M55"/>
    <mergeCell ref="F40:H40"/>
    <mergeCell ref="B111:D111"/>
    <mergeCell ref="F111:H111"/>
    <mergeCell ref="B44:D44"/>
    <mergeCell ref="F44:H44"/>
    <mergeCell ref="B53:M53"/>
    <mergeCell ref="B48:X48"/>
    <mergeCell ref="B49:X49"/>
    <mergeCell ref="B103:M105"/>
    <mergeCell ref="B89:M89"/>
  </mergeCells>
  <hyperlinks>
    <hyperlink ref="B111:D111" location="'Part 2'!A1" display="◀  Part 2" xr:uid="{9223C2D5-67D0-4D8E-B958-73127580F7A5}"/>
    <hyperlink ref="F111:H111" location="'Part 4'!A1" display="Part 4  ▶" xr:uid="{5841DD24-836C-4C03-B5A8-06B19612B8FC}"/>
  </hyperlinks>
  <pageMargins left="0.7" right="0.7" top="0.75" bottom="0.75" header="0.3" footer="0.3"/>
  <pageSetup paperSize="9"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B385C-4ADC-4E14-8B7C-70628614653D}">
  <sheetPr codeName="Sheet6"/>
  <dimension ref="B6:X145"/>
  <sheetViews>
    <sheetView showGridLines="0" tabSelected="1" topLeftCell="A115" zoomScaleNormal="100" workbookViewId="0">
      <selection activeCell="D102" sqref="D102"/>
    </sheetView>
  </sheetViews>
  <sheetFormatPr defaultColWidth="9.140625" defaultRowHeight="15" x14ac:dyDescent="0.25"/>
  <cols>
    <col min="2" max="4" width="9.140625" customWidth="1"/>
  </cols>
  <sheetData>
    <row r="6" spans="2:24" s="4" customFormat="1" x14ac:dyDescent="0.25"/>
    <row r="7" spans="2:24" s="4" customFormat="1" x14ac:dyDescent="0.25"/>
    <row r="8" spans="2:24" s="4" customFormat="1" ht="36" x14ac:dyDescent="0.55000000000000004">
      <c r="B8" s="7" t="s">
        <v>127</v>
      </c>
    </row>
    <row r="9" spans="2:24" s="4" customFormat="1" x14ac:dyDescent="0.25"/>
    <row r="10" spans="2:24" s="4" customFormat="1" ht="21" x14ac:dyDescent="0.35">
      <c r="B10" s="107" t="s">
        <v>134</v>
      </c>
      <c r="C10" s="107"/>
      <c r="D10" s="107"/>
      <c r="E10" s="107"/>
      <c r="F10" s="107"/>
      <c r="G10" s="107"/>
      <c r="H10" s="107"/>
      <c r="I10" s="107"/>
      <c r="J10" s="107"/>
      <c r="K10" s="107"/>
      <c r="L10" s="107"/>
      <c r="M10" s="107"/>
      <c r="N10" s="107"/>
      <c r="O10" s="107"/>
      <c r="P10" s="107"/>
      <c r="Q10" s="107"/>
      <c r="R10" s="107"/>
      <c r="S10" s="107"/>
      <c r="T10" s="107"/>
      <c r="U10" s="107"/>
      <c r="V10" s="107"/>
      <c r="W10" s="107"/>
      <c r="X10" s="107"/>
    </row>
    <row r="11" spans="2:24" s="4" customFormat="1" ht="3" customHeight="1" x14ac:dyDescent="0.35">
      <c r="B11" s="108"/>
      <c r="C11" s="108"/>
      <c r="D11" s="108"/>
      <c r="E11" s="108"/>
      <c r="F11" s="108"/>
      <c r="G11" s="108"/>
      <c r="H11" s="108"/>
      <c r="I11" s="108"/>
      <c r="J11" s="108"/>
      <c r="K11" s="108"/>
      <c r="L11" s="108"/>
      <c r="M11" s="108"/>
      <c r="N11" s="108"/>
      <c r="O11" s="108"/>
      <c r="P11" s="108"/>
      <c r="Q11" s="108"/>
      <c r="R11" s="108"/>
      <c r="S11" s="108"/>
      <c r="T11" s="108"/>
      <c r="U11" s="108"/>
      <c r="V11" s="108"/>
      <c r="W11" s="108"/>
      <c r="X11" s="108"/>
    </row>
    <row r="12" spans="2:24" ht="15.75" thickBot="1" x14ac:dyDescent="0.3"/>
    <row r="13" spans="2:24" s="4" customFormat="1" ht="19.5" thickBot="1" x14ac:dyDescent="0.35">
      <c r="B13" s="8" t="s">
        <v>130</v>
      </c>
      <c r="C13" s="9" t="str">
        <f>REPT("★", MIN(B14, 5)) &amp; REPT("☆", 5 - MIN(B14, 5)) &amp; IF(B14 &gt; 5, "+", "")</f>
        <v>★☆☆☆☆</v>
      </c>
      <c r="E13"/>
      <c r="F13"/>
      <c r="G13"/>
      <c r="H13"/>
    </row>
    <row r="14" spans="2:24" s="4" customFormat="1" ht="6.95" customHeight="1" thickBot="1" x14ac:dyDescent="0.3">
      <c r="B14" s="10">
        <v>1</v>
      </c>
    </row>
    <row r="15" spans="2:24" s="4" customFormat="1" ht="15" customHeight="1" x14ac:dyDescent="0.25">
      <c r="B15" s="112" t="s">
        <v>128</v>
      </c>
      <c r="C15" s="113"/>
      <c r="D15" s="113"/>
      <c r="E15" s="113"/>
      <c r="F15" s="113"/>
      <c r="G15" s="113"/>
      <c r="H15" s="113"/>
      <c r="I15" s="113"/>
      <c r="J15" s="113"/>
      <c r="K15" s="113"/>
      <c r="L15" s="113"/>
      <c r="M15" s="114"/>
    </row>
    <row r="16" spans="2:24" s="4" customFormat="1" ht="6.95" customHeight="1" x14ac:dyDescent="0.25">
      <c r="B16" s="121"/>
      <c r="C16" s="122"/>
      <c r="D16" s="122"/>
      <c r="E16" s="122"/>
      <c r="F16" s="122"/>
      <c r="G16" s="122"/>
      <c r="H16" s="122"/>
      <c r="I16" s="122"/>
      <c r="J16" s="122"/>
      <c r="K16" s="122"/>
      <c r="L16" s="122"/>
      <c r="M16" s="123"/>
    </row>
    <row r="17" spans="2:24" s="4" customFormat="1" ht="15" customHeight="1" thickBot="1" x14ac:dyDescent="0.3">
      <c r="B17" s="115" t="s">
        <v>129</v>
      </c>
      <c r="C17" s="116"/>
      <c r="D17" s="116"/>
      <c r="E17" s="116"/>
      <c r="F17" s="116"/>
      <c r="G17" s="116"/>
      <c r="H17" s="116"/>
      <c r="I17" s="116"/>
      <c r="J17" s="116"/>
      <c r="K17" s="116"/>
      <c r="L17" s="116"/>
      <c r="M17" s="117"/>
    </row>
    <row r="18" spans="2:24" ht="6.95" customHeight="1" x14ac:dyDescent="0.25"/>
    <row r="19" spans="2:24" s="4" customFormat="1" ht="15" customHeight="1" x14ac:dyDescent="0.25">
      <c r="B19" s="5" t="s">
        <v>9</v>
      </c>
    </row>
    <row r="23" spans="2:24" s="4" customFormat="1" ht="21" x14ac:dyDescent="0.35">
      <c r="B23" s="107" t="s">
        <v>89</v>
      </c>
      <c r="C23" s="107"/>
      <c r="D23" s="107"/>
      <c r="E23" s="107"/>
      <c r="F23" s="107"/>
      <c r="G23" s="107"/>
      <c r="H23" s="107"/>
      <c r="I23" s="107"/>
      <c r="J23" s="107"/>
      <c r="K23" s="107"/>
      <c r="L23" s="107"/>
      <c r="M23" s="107"/>
      <c r="N23" s="107"/>
      <c r="O23" s="107"/>
      <c r="P23" s="107"/>
      <c r="Q23" s="107"/>
      <c r="R23" s="107"/>
      <c r="S23" s="107"/>
      <c r="T23" s="107"/>
      <c r="U23" s="107"/>
      <c r="V23" s="107"/>
      <c r="W23" s="107"/>
      <c r="X23" s="107"/>
    </row>
    <row r="24" spans="2:24" s="4" customFormat="1" ht="3" customHeight="1" x14ac:dyDescent="0.35">
      <c r="B24" s="108"/>
      <c r="C24" s="108"/>
      <c r="D24" s="108"/>
      <c r="E24" s="108"/>
      <c r="F24" s="108"/>
      <c r="G24" s="108"/>
      <c r="H24" s="108"/>
      <c r="I24" s="108"/>
      <c r="J24" s="108"/>
      <c r="K24" s="108"/>
      <c r="L24" s="108"/>
      <c r="M24" s="108"/>
      <c r="N24" s="108"/>
      <c r="O24" s="108"/>
      <c r="P24" s="108"/>
      <c r="Q24" s="108"/>
      <c r="R24" s="108"/>
      <c r="S24" s="108"/>
      <c r="T24" s="108"/>
      <c r="U24" s="108"/>
      <c r="V24" s="108"/>
      <c r="W24" s="108"/>
      <c r="X24" s="108"/>
    </row>
    <row r="25" spans="2:24" ht="15.75" thickBot="1" x14ac:dyDescent="0.3"/>
    <row r="26" spans="2:24" s="4" customFormat="1" ht="19.5" thickBot="1" x14ac:dyDescent="0.35">
      <c r="B26" s="8" t="s">
        <v>136</v>
      </c>
      <c r="C26" s="9" t="str">
        <f>REPT("★", MIN(B27, 5)) &amp; REPT("☆", 5 - MIN(B27, 5)) &amp; IF(B27 &gt; 5, "+", "")</f>
        <v>★★★☆☆</v>
      </c>
      <c r="E26"/>
      <c r="F26"/>
      <c r="G26"/>
      <c r="H26"/>
    </row>
    <row r="27" spans="2:24" s="4" customFormat="1" ht="6.95" customHeight="1" thickBot="1" x14ac:dyDescent="0.3">
      <c r="B27" s="10">
        <v>3</v>
      </c>
    </row>
    <row r="28" spans="2:24" s="4" customFormat="1" ht="30" customHeight="1" x14ac:dyDescent="0.25">
      <c r="B28" s="112" t="s">
        <v>131</v>
      </c>
      <c r="C28" s="113"/>
      <c r="D28" s="113"/>
      <c r="E28" s="113"/>
      <c r="F28" s="113"/>
      <c r="G28" s="113"/>
      <c r="H28" s="113"/>
      <c r="I28" s="113"/>
      <c r="J28" s="113"/>
      <c r="K28" s="113"/>
      <c r="L28" s="113"/>
      <c r="M28" s="114"/>
    </row>
    <row r="29" spans="2:24" s="4" customFormat="1" ht="6.95" customHeight="1" x14ac:dyDescent="0.25">
      <c r="B29" s="121"/>
      <c r="C29" s="122"/>
      <c r="D29" s="122"/>
      <c r="E29" s="122"/>
      <c r="F29" s="122"/>
      <c r="G29" s="122"/>
      <c r="H29" s="122"/>
      <c r="I29" s="122"/>
      <c r="J29" s="122"/>
      <c r="K29" s="122"/>
      <c r="L29" s="122"/>
      <c r="M29" s="123"/>
    </row>
    <row r="30" spans="2:24" s="4" customFormat="1" ht="15" customHeight="1" thickBot="1" x14ac:dyDescent="0.3">
      <c r="B30" s="115" t="s">
        <v>135</v>
      </c>
      <c r="C30" s="116"/>
      <c r="D30" s="116"/>
      <c r="E30" s="116"/>
      <c r="F30" s="116"/>
      <c r="G30" s="116"/>
      <c r="H30" s="116"/>
      <c r="I30" s="116"/>
      <c r="J30" s="116"/>
      <c r="K30" s="116"/>
      <c r="L30" s="116"/>
      <c r="M30" s="117"/>
    </row>
    <row r="31" spans="2:24" ht="6.95" customHeight="1" x14ac:dyDescent="0.25"/>
    <row r="32" spans="2:24" s="4" customFormat="1" ht="15" customHeight="1" x14ac:dyDescent="0.25">
      <c r="B32" s="5" t="s">
        <v>9</v>
      </c>
    </row>
    <row r="33" spans="2:24" ht="6.95" customHeight="1" x14ac:dyDescent="0.25"/>
    <row r="34" spans="2:24" s="4" customFormat="1" ht="15" customHeight="1" thickBot="1" x14ac:dyDescent="0.3">
      <c r="B34" s="12" t="s">
        <v>132</v>
      </c>
    </row>
    <row r="35" spans="2:24" s="4" customFormat="1" ht="15.75" customHeight="1" thickTop="1" x14ac:dyDescent="0.25">
      <c r="B35" s="130"/>
      <c r="C35" s="131"/>
      <c r="D35" s="131"/>
      <c r="E35" s="131"/>
      <c r="F35" s="131"/>
      <c r="G35" s="131"/>
      <c r="H35" s="131"/>
      <c r="I35" s="131"/>
      <c r="J35" s="131"/>
      <c r="K35" s="131"/>
      <c r="L35" s="131"/>
      <c r="M35" s="132"/>
    </row>
    <row r="36" spans="2:24" s="4" customFormat="1" ht="15.75" customHeight="1" x14ac:dyDescent="0.25">
      <c r="B36" s="133"/>
      <c r="C36" s="134"/>
      <c r="D36" s="134"/>
      <c r="E36" s="134"/>
      <c r="F36" s="134"/>
      <c r="G36" s="134"/>
      <c r="H36" s="134"/>
      <c r="I36" s="134"/>
      <c r="J36" s="134"/>
      <c r="K36" s="134"/>
      <c r="L36" s="134"/>
      <c r="M36" s="135"/>
    </row>
    <row r="37" spans="2:24" s="4" customFormat="1" ht="15.75" customHeight="1" thickBot="1" x14ac:dyDescent="0.3">
      <c r="B37" s="136"/>
      <c r="C37" s="137"/>
      <c r="D37" s="137"/>
      <c r="E37" s="137"/>
      <c r="F37" s="137"/>
      <c r="G37" s="137"/>
      <c r="H37" s="137"/>
      <c r="I37" s="137"/>
      <c r="J37" s="137"/>
      <c r="K37" s="137"/>
      <c r="L37" s="137"/>
      <c r="M37" s="138"/>
    </row>
    <row r="38" spans="2:24" ht="15.75" thickTop="1" x14ac:dyDescent="0.25"/>
    <row r="41" spans="2:24" s="4" customFormat="1" ht="21" x14ac:dyDescent="0.35">
      <c r="B41" s="107" t="s">
        <v>157</v>
      </c>
      <c r="C41" s="107"/>
      <c r="D41" s="107"/>
      <c r="E41" s="107"/>
      <c r="F41" s="107"/>
      <c r="G41" s="107"/>
      <c r="H41" s="107"/>
      <c r="I41" s="107"/>
      <c r="J41" s="107"/>
      <c r="K41" s="107"/>
      <c r="L41" s="107"/>
      <c r="M41" s="107"/>
      <c r="N41" s="107"/>
      <c r="O41" s="107"/>
      <c r="P41" s="107"/>
      <c r="Q41" s="107"/>
      <c r="R41" s="107"/>
      <c r="S41" s="107"/>
      <c r="T41" s="107"/>
      <c r="U41" s="107"/>
      <c r="V41" s="107"/>
      <c r="W41" s="107"/>
      <c r="X41" s="107"/>
    </row>
    <row r="42" spans="2:24" s="4" customFormat="1" ht="3" customHeight="1" x14ac:dyDescent="0.35">
      <c r="B42" s="108"/>
      <c r="C42" s="108"/>
      <c r="D42" s="108"/>
      <c r="E42" s="108"/>
      <c r="F42" s="108"/>
      <c r="G42" s="108"/>
      <c r="H42" s="108"/>
      <c r="I42" s="108"/>
      <c r="J42" s="108"/>
      <c r="K42" s="108"/>
      <c r="L42" s="108"/>
      <c r="M42" s="108"/>
      <c r="N42" s="108"/>
      <c r="O42" s="108"/>
      <c r="P42" s="108"/>
      <c r="Q42" s="108"/>
      <c r="R42" s="108"/>
      <c r="S42" s="108"/>
      <c r="T42" s="108"/>
      <c r="U42" s="108"/>
      <c r="V42" s="108"/>
      <c r="W42" s="108"/>
      <c r="X42" s="108"/>
    </row>
    <row r="43" spans="2:24" ht="15.75" thickBot="1" x14ac:dyDescent="0.3"/>
    <row r="44" spans="2:24" s="4" customFormat="1" ht="19.5" thickBot="1" x14ac:dyDescent="0.35">
      <c r="B44" s="8" t="s">
        <v>137</v>
      </c>
      <c r="C44" s="9" t="str">
        <f>REPT("★", MIN(B45, 5)) &amp; REPT("☆", 5 - MIN(B45, 5)) &amp; IF(B45 &gt; 5, "+", "")</f>
        <v>★★★☆☆</v>
      </c>
      <c r="E44"/>
      <c r="F44"/>
      <c r="G44"/>
      <c r="H44"/>
    </row>
    <row r="45" spans="2:24" s="4" customFormat="1" ht="6.95" customHeight="1" thickBot="1" x14ac:dyDescent="0.3">
      <c r="B45" s="10">
        <v>3</v>
      </c>
    </row>
    <row r="46" spans="2:24" s="4" customFormat="1" ht="15" customHeight="1" x14ac:dyDescent="0.25">
      <c r="B46" s="112" t="s">
        <v>138</v>
      </c>
      <c r="C46" s="113"/>
      <c r="D46" s="113"/>
      <c r="E46" s="113"/>
      <c r="F46" s="113"/>
      <c r="G46" s="113"/>
      <c r="H46" s="113"/>
      <c r="I46" s="113"/>
      <c r="J46" s="113"/>
      <c r="K46" s="113"/>
      <c r="L46" s="113"/>
      <c r="M46" s="114"/>
    </row>
    <row r="47" spans="2:24" s="4" customFormat="1" ht="6.95" customHeight="1" x14ac:dyDescent="0.25">
      <c r="B47" s="121"/>
      <c r="C47" s="122"/>
      <c r="D47" s="122"/>
      <c r="E47" s="122"/>
      <c r="F47" s="122"/>
      <c r="G47" s="122"/>
      <c r="H47" s="122"/>
      <c r="I47" s="122"/>
      <c r="J47" s="122"/>
      <c r="K47" s="122"/>
      <c r="L47" s="122"/>
      <c r="M47" s="123"/>
    </row>
    <row r="48" spans="2:24" s="4" customFormat="1" ht="15" customHeight="1" thickBot="1" x14ac:dyDescent="0.3">
      <c r="B48" s="115" t="s">
        <v>139</v>
      </c>
      <c r="C48" s="116"/>
      <c r="D48" s="116"/>
      <c r="E48" s="116"/>
      <c r="F48" s="116"/>
      <c r="G48" s="116"/>
      <c r="H48" s="116"/>
      <c r="I48" s="116"/>
      <c r="J48" s="116"/>
      <c r="K48" s="116"/>
      <c r="L48" s="116"/>
      <c r="M48" s="117"/>
    </row>
    <row r="49" spans="2:24" s="4" customFormat="1" ht="6.95" customHeight="1" x14ac:dyDescent="0.25"/>
    <row r="50" spans="2:24" s="4" customFormat="1" ht="15" customHeight="1" x14ac:dyDescent="0.25">
      <c r="B50" s="5" t="s">
        <v>55</v>
      </c>
    </row>
    <row r="51" spans="2:24" s="4" customFormat="1" ht="6.95" customHeight="1" x14ac:dyDescent="0.25"/>
    <row r="52" spans="2:24" s="4" customFormat="1" ht="15" customHeight="1" x14ac:dyDescent="0.25">
      <c r="B52" s="5" t="s">
        <v>56</v>
      </c>
    </row>
    <row r="55" spans="2:24" s="4" customFormat="1" x14ac:dyDescent="0.25"/>
    <row r="56" spans="2:24" s="4" customFormat="1" ht="21" x14ac:dyDescent="0.35">
      <c r="B56" s="142" t="s">
        <v>140</v>
      </c>
      <c r="C56" s="142"/>
      <c r="D56" s="142"/>
      <c r="E56" s="142"/>
      <c r="F56" s="142"/>
      <c r="G56" s="142"/>
      <c r="H56" s="142"/>
      <c r="I56" s="142"/>
      <c r="J56" s="142"/>
      <c r="K56" s="142"/>
      <c r="L56" s="142"/>
      <c r="M56" s="142"/>
      <c r="N56" s="142"/>
      <c r="O56" s="142"/>
      <c r="P56" s="142"/>
      <c r="Q56" s="142"/>
      <c r="R56" s="142"/>
      <c r="S56" s="142"/>
      <c r="T56" s="142"/>
      <c r="U56" s="142"/>
      <c r="V56" s="142"/>
      <c r="W56" s="142"/>
      <c r="X56" s="142"/>
    </row>
    <row r="57" spans="2:24" s="4" customFormat="1" ht="3" customHeight="1" x14ac:dyDescent="0.35">
      <c r="B57" s="143"/>
      <c r="C57" s="143"/>
      <c r="D57" s="143"/>
      <c r="E57" s="143"/>
      <c r="F57" s="143"/>
      <c r="G57" s="143"/>
      <c r="H57" s="143"/>
      <c r="I57" s="143"/>
      <c r="J57" s="143"/>
      <c r="K57" s="143"/>
      <c r="L57" s="143"/>
      <c r="M57" s="143"/>
      <c r="N57" s="143"/>
      <c r="O57" s="143"/>
      <c r="P57" s="143"/>
      <c r="Q57" s="143"/>
      <c r="R57" s="143"/>
      <c r="S57" s="143"/>
      <c r="T57" s="143"/>
      <c r="U57" s="143"/>
      <c r="V57" s="143"/>
      <c r="W57" s="143"/>
      <c r="X57" s="143"/>
    </row>
    <row r="58" spans="2:24" s="4" customFormat="1" ht="6.95" customHeight="1" x14ac:dyDescent="0.25"/>
    <row r="59" spans="2:24" x14ac:dyDescent="0.25">
      <c r="B59" t="s">
        <v>141</v>
      </c>
    </row>
    <row r="60" spans="2:24" ht="6.95" customHeight="1" x14ac:dyDescent="0.25"/>
    <row r="61" spans="2:24" x14ac:dyDescent="0.25">
      <c r="B61" t="s">
        <v>142</v>
      </c>
    </row>
    <row r="64" spans="2:24" ht="15.75" x14ac:dyDescent="0.25">
      <c r="B64" s="49" t="s">
        <v>144</v>
      </c>
      <c r="K64" s="49" t="s">
        <v>143</v>
      </c>
    </row>
    <row r="100" spans="2:24" x14ac:dyDescent="0.25">
      <c r="B100" t="s">
        <v>145</v>
      </c>
    </row>
    <row r="101" spans="2:24" ht="6.95" customHeight="1" x14ac:dyDescent="0.25"/>
    <row r="102" spans="2:24" x14ac:dyDescent="0.25">
      <c r="B102" t="s">
        <v>146</v>
      </c>
    </row>
    <row r="103" spans="2:24" ht="6.95" customHeight="1" x14ac:dyDescent="0.25"/>
    <row r="104" spans="2:24" x14ac:dyDescent="0.25">
      <c r="B104">
        <v>10.199999999999999</v>
      </c>
    </row>
    <row r="105" spans="2:24" x14ac:dyDescent="0.25">
      <c r="B105">
        <v>10.1</v>
      </c>
    </row>
    <row r="106" spans="2:24" x14ac:dyDescent="0.25">
      <c r="B106" s="144">
        <f>B104 - B105</f>
        <v>9.9999999999999645E-2</v>
      </c>
      <c r="C106" s="144"/>
      <c r="D106" s="144"/>
      <c r="E106" t="str">
        <f ca="1">_xlfn.FORMULATEXT(B106)</f>
        <v>=B104 - B105</v>
      </c>
    </row>
    <row r="108" spans="2:24" x14ac:dyDescent="0.25">
      <c r="B108" s="145" t="s">
        <v>149</v>
      </c>
      <c r="C108" s="145"/>
      <c r="D108" s="145"/>
      <c r="E108" s="145"/>
      <c r="F108" s="145"/>
      <c r="G108" s="145"/>
      <c r="H108" s="145"/>
      <c r="I108" s="145"/>
      <c r="J108" s="145"/>
      <c r="K108" s="145"/>
      <c r="L108" s="145"/>
      <c r="M108" s="145"/>
      <c r="N108" s="145"/>
      <c r="O108" s="145"/>
      <c r="P108" s="145"/>
      <c r="Q108" s="145"/>
      <c r="R108" s="145"/>
      <c r="S108" s="145"/>
      <c r="T108" s="145"/>
      <c r="U108" s="145"/>
      <c r="V108" s="145"/>
      <c r="W108" s="145"/>
      <c r="X108" s="145"/>
    </row>
    <row r="109" spans="2:24" x14ac:dyDescent="0.25">
      <c r="B109" s="145"/>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row>
    <row r="110" spans="2:24" ht="6.95" customHeight="1" x14ac:dyDescent="0.25"/>
    <row r="111" spans="2:24" ht="17.100000000000001" customHeight="1" x14ac:dyDescent="0.25">
      <c r="B111" s="146" t="s">
        <v>148</v>
      </c>
      <c r="C111" s="146"/>
      <c r="D111" s="146"/>
      <c r="E111" s="146"/>
      <c r="F111" s="146"/>
      <c r="G111" s="146"/>
      <c r="H111" s="146"/>
      <c r="I111" s="146"/>
      <c r="J111" s="146"/>
      <c r="K111" s="146"/>
      <c r="L111" s="146"/>
      <c r="M111" s="146"/>
      <c r="N111" s="146"/>
      <c r="O111" s="146"/>
      <c r="P111" s="146"/>
      <c r="Q111" s="146"/>
      <c r="R111" s="146"/>
      <c r="S111" s="146"/>
      <c r="T111" s="146"/>
      <c r="U111" s="146"/>
      <c r="V111" s="146"/>
      <c r="W111" s="146"/>
      <c r="X111" s="146"/>
    </row>
    <row r="112" spans="2:24" ht="17.100000000000001" customHeight="1" x14ac:dyDescent="0.25">
      <c r="B112" s="146"/>
      <c r="C112" s="146"/>
      <c r="D112" s="146"/>
      <c r="E112" s="146"/>
      <c r="F112" s="146"/>
      <c r="G112" s="146"/>
      <c r="H112" s="146"/>
      <c r="I112" s="146"/>
      <c r="J112" s="146"/>
      <c r="K112" s="146"/>
      <c r="L112" s="146"/>
      <c r="M112" s="146"/>
      <c r="N112" s="146"/>
      <c r="O112" s="146"/>
      <c r="P112" s="146"/>
      <c r="Q112" s="146"/>
      <c r="R112" s="146"/>
      <c r="S112" s="146"/>
      <c r="T112" s="146"/>
      <c r="U112" s="146"/>
      <c r="V112" s="146"/>
      <c r="W112" s="146"/>
      <c r="X112" s="146"/>
    </row>
    <row r="113" spans="2:24" ht="6.95" customHeight="1" x14ac:dyDescent="0.25"/>
    <row r="114" spans="2:24" x14ac:dyDescent="0.25">
      <c r="B114" t="s">
        <v>150</v>
      </c>
    </row>
    <row r="115" spans="2:24" ht="6.95" customHeight="1" x14ac:dyDescent="0.25"/>
    <row r="116" spans="2:24" x14ac:dyDescent="0.25">
      <c r="B116" s="145" t="s">
        <v>203</v>
      </c>
      <c r="C116" s="145"/>
      <c r="D116" s="145"/>
      <c r="E116" s="145"/>
      <c r="F116" s="145"/>
      <c r="G116" s="145"/>
      <c r="H116" s="145"/>
      <c r="I116" s="145"/>
      <c r="J116" s="145"/>
      <c r="K116" s="145"/>
      <c r="L116" s="145"/>
      <c r="M116" s="145"/>
      <c r="N116" s="145"/>
      <c r="O116" s="145"/>
      <c r="P116" s="145"/>
      <c r="Q116" s="145"/>
      <c r="R116" s="145"/>
      <c r="S116" s="145"/>
      <c r="T116" s="145"/>
      <c r="U116" s="145"/>
      <c r="V116" s="145"/>
      <c r="W116" s="145"/>
      <c r="X116" s="145"/>
    </row>
    <row r="117" spans="2:24" x14ac:dyDescent="0.25">
      <c r="B117" s="145"/>
      <c r="C117" s="145"/>
      <c r="D117" s="145"/>
      <c r="E117" s="145"/>
      <c r="F117" s="145"/>
      <c r="G117" s="145"/>
      <c r="H117" s="145"/>
      <c r="I117" s="145"/>
      <c r="J117" s="145"/>
      <c r="K117" s="145"/>
      <c r="L117" s="145"/>
      <c r="M117" s="145"/>
      <c r="N117" s="145"/>
      <c r="O117" s="145"/>
      <c r="P117" s="145"/>
      <c r="Q117" s="145"/>
      <c r="R117" s="145"/>
      <c r="S117" s="145"/>
      <c r="T117" s="145"/>
      <c r="U117" s="145"/>
      <c r="V117" s="145"/>
      <c r="W117" s="145"/>
      <c r="X117" s="145"/>
    </row>
    <row r="118" spans="2:24" ht="15" customHeight="1" thickBot="1" x14ac:dyDescent="0.3"/>
    <row r="119" spans="2:24" s="4" customFormat="1" ht="24.95" customHeight="1" thickBot="1" x14ac:dyDescent="0.3">
      <c r="B119" s="104" t="s">
        <v>151</v>
      </c>
      <c r="C119" s="105"/>
      <c r="D119" s="105"/>
      <c r="E119" s="105"/>
      <c r="F119" s="105"/>
      <c r="G119" s="105"/>
      <c r="H119" s="105"/>
      <c r="I119" s="105"/>
      <c r="J119" s="105"/>
      <c r="K119" s="105"/>
      <c r="L119" s="105"/>
      <c r="M119" s="106"/>
    </row>
    <row r="120" spans="2:24" ht="15" customHeight="1" x14ac:dyDescent="0.25"/>
    <row r="121" spans="2:24" ht="15" customHeight="1" x14ac:dyDescent="0.25">
      <c r="B121" s="1" t="s">
        <v>152</v>
      </c>
    </row>
    <row r="122" spans="2:24" ht="6.95" customHeight="1" x14ac:dyDescent="0.25"/>
    <row r="123" spans="2:24" ht="15" customHeight="1" x14ac:dyDescent="0.25">
      <c r="B123" t="s">
        <v>153</v>
      </c>
    </row>
    <row r="124" spans="2:24" x14ac:dyDescent="0.25">
      <c r="B124" s="19" t="s">
        <v>147</v>
      </c>
    </row>
    <row r="128" spans="2:24" s="4" customFormat="1" ht="21" x14ac:dyDescent="0.35">
      <c r="B128" s="107" t="s">
        <v>158</v>
      </c>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row>
    <row r="129" spans="2:24" s="4" customFormat="1" ht="3" customHeight="1" x14ac:dyDescent="0.35">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row>
    <row r="130" spans="2:24" ht="15.75" thickBot="1" x14ac:dyDescent="0.3"/>
    <row r="131" spans="2:24" s="4" customFormat="1" ht="19.5" thickBot="1" x14ac:dyDescent="0.35">
      <c r="B131" s="8" t="s">
        <v>160</v>
      </c>
      <c r="C131" s="9" t="str">
        <f>REPT("★", MIN(B132, 5)) &amp; REPT("☆", 5 - MIN(B132, 5)) &amp; IF(B132 &gt; 5, "+", "")</f>
        <v>★★★☆☆</v>
      </c>
      <c r="E131"/>
      <c r="F131"/>
      <c r="G131"/>
      <c r="H131"/>
    </row>
    <row r="132" spans="2:24" s="4" customFormat="1" ht="6.95" customHeight="1" thickBot="1" x14ac:dyDescent="0.3">
      <c r="B132" s="10">
        <v>3</v>
      </c>
    </row>
    <row r="133" spans="2:24" s="4" customFormat="1" ht="15" customHeight="1" x14ac:dyDescent="0.25">
      <c r="B133" s="112" t="s">
        <v>154</v>
      </c>
      <c r="C133" s="113"/>
      <c r="D133" s="113"/>
      <c r="E133" s="113"/>
      <c r="F133" s="113"/>
      <c r="G133" s="113"/>
      <c r="H133" s="113"/>
      <c r="I133" s="113"/>
      <c r="J133" s="113"/>
      <c r="K133" s="113"/>
      <c r="L133" s="113"/>
      <c r="M133" s="114"/>
    </row>
    <row r="134" spans="2:24" s="4" customFormat="1" ht="15" customHeight="1" x14ac:dyDescent="0.25">
      <c r="B134" s="139" t="s">
        <v>155</v>
      </c>
      <c r="C134" s="140"/>
      <c r="D134" s="140"/>
      <c r="E134" s="140"/>
      <c r="F134" s="140"/>
      <c r="G134" s="140"/>
      <c r="H134" s="140"/>
      <c r="I134" s="140"/>
      <c r="J134" s="140"/>
      <c r="K134" s="140"/>
      <c r="L134" s="140"/>
      <c r="M134" s="141"/>
    </row>
    <row r="135" spans="2:24" s="4" customFormat="1" ht="15" customHeight="1" x14ac:dyDescent="0.25">
      <c r="B135" s="139" t="s">
        <v>156</v>
      </c>
      <c r="C135" s="140"/>
      <c r="D135" s="140"/>
      <c r="E135" s="140"/>
      <c r="F135" s="140"/>
      <c r="G135" s="140"/>
      <c r="H135" s="140"/>
      <c r="I135" s="140"/>
      <c r="J135" s="140"/>
      <c r="K135" s="140"/>
      <c r="L135" s="140"/>
      <c r="M135" s="141"/>
    </row>
    <row r="136" spans="2:24" s="4" customFormat="1" ht="6.95" customHeight="1" x14ac:dyDescent="0.25">
      <c r="B136" s="14"/>
      <c r="C136" s="17"/>
      <c r="D136" s="17"/>
      <c r="E136" s="17"/>
      <c r="F136" s="17"/>
      <c r="G136" s="17"/>
      <c r="H136" s="17"/>
      <c r="I136" s="17"/>
      <c r="J136" s="17"/>
      <c r="K136" s="17"/>
      <c r="L136" s="17"/>
      <c r="M136" s="18"/>
    </row>
    <row r="137" spans="2:24" s="4" customFormat="1" ht="15" customHeight="1" thickBot="1" x14ac:dyDescent="0.3">
      <c r="B137" s="115" t="s">
        <v>159</v>
      </c>
      <c r="C137" s="116"/>
      <c r="D137" s="116"/>
      <c r="E137" s="116"/>
      <c r="F137" s="116"/>
      <c r="G137" s="116"/>
      <c r="H137" s="116"/>
      <c r="I137" s="116"/>
      <c r="J137" s="116"/>
      <c r="K137" s="116"/>
      <c r="L137" s="116"/>
      <c r="M137" s="117"/>
    </row>
    <row r="138" spans="2:24" s="4" customFormat="1" ht="6.95" customHeight="1" x14ac:dyDescent="0.25"/>
    <row r="139" spans="2:24" s="4" customFormat="1" ht="15" customHeight="1" x14ac:dyDescent="0.25">
      <c r="B139" s="5" t="s">
        <v>55</v>
      </c>
    </row>
    <row r="145" spans="2:8" ht="23.25" x14ac:dyDescent="0.35">
      <c r="B145" s="111" t="s">
        <v>265</v>
      </c>
      <c r="C145" s="111"/>
      <c r="D145" s="111"/>
      <c r="F145" s="111" t="s">
        <v>266</v>
      </c>
      <c r="G145" s="111"/>
      <c r="H145" s="111"/>
    </row>
  </sheetData>
  <mergeCells count="31">
    <mergeCell ref="B30:M30"/>
    <mergeCell ref="B41:X41"/>
    <mergeCell ref="B116:X117"/>
    <mergeCell ref="B108:X109"/>
    <mergeCell ref="B111:X112"/>
    <mergeCell ref="B35:M37"/>
    <mergeCell ref="B42:X42"/>
    <mergeCell ref="B46:M46"/>
    <mergeCell ref="B10:X10"/>
    <mergeCell ref="B11:X11"/>
    <mergeCell ref="B28:M28"/>
    <mergeCell ref="B29:M29"/>
    <mergeCell ref="B23:X23"/>
    <mergeCell ref="B24:X24"/>
    <mergeCell ref="B15:M15"/>
    <mergeCell ref="B16:M16"/>
    <mergeCell ref="B17:M17"/>
    <mergeCell ref="B145:D145"/>
    <mergeCell ref="F145:H145"/>
    <mergeCell ref="B47:M47"/>
    <mergeCell ref="B134:M134"/>
    <mergeCell ref="B135:M135"/>
    <mergeCell ref="B133:M133"/>
    <mergeCell ref="B137:M137"/>
    <mergeCell ref="B128:X128"/>
    <mergeCell ref="B129:X129"/>
    <mergeCell ref="B48:M48"/>
    <mergeCell ref="B56:X56"/>
    <mergeCell ref="B57:X57"/>
    <mergeCell ref="B106:D106"/>
    <mergeCell ref="B119:M119"/>
  </mergeCells>
  <hyperlinks>
    <hyperlink ref="B124" r:id="rId1" xr:uid="{413A7C0B-C89D-440C-A6EA-E90106BAFA08}"/>
    <hyperlink ref="B145:D145" location="'Part 3'!A1" display="◀  Part 3" xr:uid="{568AE2DA-0073-40C0-BADC-DDFEB4224B6E}"/>
    <hyperlink ref="F145:H145" location="'Part 5'!A1" display="Part 5  ▶" xr:uid="{6F095BFE-E1CA-4D9E-95DB-01DF04C4EE57}"/>
  </hyperlinks>
  <pageMargins left="0.7" right="0.7" top="0.75" bottom="0.75" header="0.3" footer="0.3"/>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4793F-DA86-4B36-8333-5FF711E27827}">
  <sheetPr codeName="Sheet7"/>
  <dimension ref="B6:X89"/>
  <sheetViews>
    <sheetView showGridLines="0" topLeftCell="A67" zoomScaleNormal="100" workbookViewId="0"/>
  </sheetViews>
  <sheetFormatPr defaultColWidth="9.140625" defaultRowHeight="15" x14ac:dyDescent="0.25"/>
  <cols>
    <col min="2" max="3" width="9.140625" customWidth="1"/>
  </cols>
  <sheetData>
    <row r="6" spans="2:24" s="4" customFormat="1" x14ac:dyDescent="0.25"/>
    <row r="7" spans="2:24" s="4" customFormat="1" x14ac:dyDescent="0.25"/>
    <row r="8" spans="2:24" s="4" customFormat="1" ht="36" x14ac:dyDescent="0.55000000000000004">
      <c r="B8" s="7" t="s">
        <v>161</v>
      </c>
    </row>
    <row r="9" spans="2:24" s="4" customFormat="1" ht="15.75" thickBot="1" x14ac:dyDescent="0.3"/>
    <row r="10" spans="2:24" s="4" customFormat="1" ht="54.95" customHeight="1" thickBot="1" x14ac:dyDescent="0.3">
      <c r="B10" s="147" t="s">
        <v>297</v>
      </c>
      <c r="C10" s="148"/>
      <c r="D10" s="148"/>
      <c r="E10" s="148"/>
      <c r="F10" s="148"/>
      <c r="G10" s="148"/>
      <c r="H10" s="148"/>
      <c r="I10" s="148"/>
      <c r="J10" s="148"/>
      <c r="K10" s="148"/>
      <c r="L10" s="148"/>
      <c r="M10" s="149"/>
    </row>
    <row r="11" spans="2:24" s="4" customFormat="1" x14ac:dyDescent="0.25"/>
    <row r="12" spans="2:24" s="4" customFormat="1" ht="21" x14ac:dyDescent="0.35">
      <c r="B12" s="107" t="s">
        <v>310</v>
      </c>
      <c r="C12" s="107"/>
      <c r="D12" s="107"/>
      <c r="E12" s="107"/>
      <c r="F12" s="107"/>
      <c r="G12" s="107"/>
      <c r="H12" s="107"/>
      <c r="I12" s="107"/>
      <c r="J12" s="107"/>
      <c r="K12" s="107"/>
      <c r="L12" s="107"/>
      <c r="M12" s="107"/>
      <c r="N12" s="107"/>
      <c r="O12" s="107"/>
      <c r="P12" s="107"/>
      <c r="Q12" s="107"/>
      <c r="R12" s="107"/>
      <c r="S12" s="107"/>
      <c r="T12" s="107"/>
      <c r="U12" s="107"/>
      <c r="V12" s="107"/>
      <c r="W12" s="107"/>
      <c r="X12" s="107"/>
    </row>
    <row r="13" spans="2:24" s="4" customFormat="1" ht="3" customHeight="1" x14ac:dyDescent="0.35">
      <c r="B13" s="108"/>
      <c r="C13" s="108"/>
      <c r="D13" s="108"/>
      <c r="E13" s="108"/>
      <c r="F13" s="108"/>
      <c r="G13" s="108"/>
      <c r="H13" s="108"/>
      <c r="I13" s="108"/>
      <c r="J13" s="108"/>
      <c r="K13" s="108"/>
      <c r="L13" s="108"/>
      <c r="M13" s="108"/>
      <c r="N13" s="108"/>
      <c r="O13" s="108"/>
      <c r="P13" s="108"/>
      <c r="Q13" s="108"/>
      <c r="R13" s="108"/>
      <c r="S13" s="108"/>
      <c r="T13" s="108"/>
      <c r="U13" s="108"/>
      <c r="V13" s="108"/>
      <c r="W13" s="108"/>
      <c r="X13" s="108"/>
    </row>
    <row r="14" spans="2:24" ht="15.75" thickBot="1" x14ac:dyDescent="0.3"/>
    <row r="15" spans="2:24" s="4" customFormat="1" ht="19.5" thickBot="1" x14ac:dyDescent="0.35">
      <c r="B15" s="8" t="s">
        <v>16</v>
      </c>
      <c r="C15" s="9" t="str">
        <f>REPT("★", MIN(B16, 5)) &amp; REPT("☆", 5 - MIN(B16, 5)) &amp; IF(B16 &gt; 5, "+", "")</f>
        <v>★★☆☆☆</v>
      </c>
      <c r="E15"/>
      <c r="F15"/>
      <c r="G15"/>
      <c r="H15"/>
    </row>
    <row r="16" spans="2:24" s="4" customFormat="1" ht="6.95" customHeight="1" thickBot="1" x14ac:dyDescent="0.3">
      <c r="B16" s="10">
        <v>2</v>
      </c>
    </row>
    <row r="17" spans="2:13" s="4" customFormat="1" ht="15" customHeight="1" x14ac:dyDescent="0.25">
      <c r="B17" s="112" t="s">
        <v>166</v>
      </c>
      <c r="C17" s="113"/>
      <c r="D17" s="113"/>
      <c r="E17" s="113"/>
      <c r="F17" s="113"/>
      <c r="G17" s="113"/>
      <c r="H17" s="113"/>
      <c r="I17" s="113"/>
      <c r="J17" s="113"/>
      <c r="K17" s="113"/>
      <c r="L17" s="113"/>
      <c r="M17" s="114"/>
    </row>
    <row r="18" spans="2:13" s="4" customFormat="1" ht="6.95" customHeight="1" x14ac:dyDescent="0.25">
      <c r="B18" s="121"/>
      <c r="C18" s="122"/>
      <c r="D18" s="122"/>
      <c r="E18" s="122"/>
      <c r="F18" s="122"/>
      <c r="G18" s="122"/>
      <c r="H18" s="122"/>
      <c r="I18" s="122"/>
      <c r="J18" s="122"/>
      <c r="K18" s="122"/>
      <c r="L18" s="122"/>
      <c r="M18" s="123"/>
    </row>
    <row r="19" spans="2:13" s="4" customFormat="1" ht="15" customHeight="1" thickBot="1" x14ac:dyDescent="0.3">
      <c r="B19" s="115" t="s">
        <v>325</v>
      </c>
      <c r="C19" s="116"/>
      <c r="D19" s="116"/>
      <c r="E19" s="116"/>
      <c r="F19" s="116"/>
      <c r="G19" s="116"/>
      <c r="H19" s="116"/>
      <c r="I19" s="116"/>
      <c r="J19" s="116"/>
      <c r="K19" s="116"/>
      <c r="L19" s="116"/>
      <c r="M19" s="117"/>
    </row>
    <row r="20" spans="2:13" ht="6.95" customHeight="1" x14ac:dyDescent="0.25"/>
    <row r="21" spans="2:13" s="4" customFormat="1" ht="15" customHeight="1" x14ac:dyDescent="0.25">
      <c r="B21" s="5" t="s">
        <v>9</v>
      </c>
    </row>
    <row r="22" spans="2:13" ht="6.95" customHeight="1" x14ac:dyDescent="0.25"/>
    <row r="23" spans="2:13" s="4" customFormat="1" ht="15" customHeight="1" thickBot="1" x14ac:dyDescent="0.3">
      <c r="B23" s="12" t="s">
        <v>163</v>
      </c>
      <c r="E23"/>
    </row>
    <row r="24" spans="2:13" s="4" customFormat="1" ht="15.75" customHeight="1" thickTop="1" thickBot="1" x14ac:dyDescent="0.3">
      <c r="B24" s="127"/>
      <c r="C24" s="128"/>
      <c r="D24" s="129"/>
      <c r="E24"/>
      <c r="G24" s="13"/>
    </row>
    <row r="25" spans="2:13" s="4" customFormat="1" ht="6.95" customHeight="1" thickTop="1" x14ac:dyDescent="0.25"/>
    <row r="26" spans="2:13" s="4" customFormat="1" ht="15" customHeight="1" thickBot="1" x14ac:dyDescent="0.3">
      <c r="B26" s="12" t="s">
        <v>164</v>
      </c>
    </row>
    <row r="27" spans="2:13" s="4" customFormat="1" ht="15.75" customHeight="1" thickTop="1" thickBot="1" x14ac:dyDescent="0.3">
      <c r="B27" s="127"/>
      <c r="C27" s="128"/>
      <c r="D27" s="129"/>
      <c r="E27"/>
      <c r="G27" s="13"/>
    </row>
    <row r="28" spans="2:13" ht="6.95" customHeight="1" thickTop="1" x14ac:dyDescent="0.25"/>
    <row r="29" spans="2:13" s="4" customFormat="1" ht="15" customHeight="1" thickBot="1" x14ac:dyDescent="0.3">
      <c r="B29" s="12" t="s">
        <v>165</v>
      </c>
    </row>
    <row r="30" spans="2:13" s="4" customFormat="1" ht="15.75" customHeight="1" thickTop="1" thickBot="1" x14ac:dyDescent="0.3">
      <c r="B30" s="127"/>
      <c r="C30" s="128"/>
      <c r="D30" s="129"/>
      <c r="E30"/>
      <c r="G30" s="13"/>
    </row>
    <row r="31" spans="2:13" ht="15.75" thickTop="1" x14ac:dyDescent="0.25"/>
    <row r="33" spans="2:13" ht="15.75" thickBot="1" x14ac:dyDescent="0.3"/>
    <row r="34" spans="2:13" s="4" customFormat="1" ht="19.5" thickBot="1" x14ac:dyDescent="0.35">
      <c r="B34" s="8" t="s">
        <v>167</v>
      </c>
      <c r="C34" s="9" t="str">
        <f>REPT("★", MIN(B35, 5)) &amp; REPT("☆", 5 - MIN(B35, 5)) &amp; IF(B35 &gt; 5, "+", "")</f>
        <v>★★★★☆</v>
      </c>
      <c r="E34"/>
      <c r="F34"/>
      <c r="G34"/>
      <c r="H34"/>
    </row>
    <row r="35" spans="2:13" s="4" customFormat="1" ht="6.95" customHeight="1" thickBot="1" x14ac:dyDescent="0.3">
      <c r="B35" s="10">
        <v>4</v>
      </c>
    </row>
    <row r="36" spans="2:13" s="4" customFormat="1" ht="15" customHeight="1" x14ac:dyDescent="0.25">
      <c r="B36" s="112" t="s">
        <v>315</v>
      </c>
      <c r="C36" s="113"/>
      <c r="D36" s="113"/>
      <c r="E36" s="113"/>
      <c r="F36" s="113"/>
      <c r="G36" s="113"/>
      <c r="H36" s="113"/>
      <c r="I36" s="113"/>
      <c r="J36" s="113"/>
      <c r="K36" s="113"/>
      <c r="L36" s="113"/>
      <c r="M36" s="114"/>
    </row>
    <row r="37" spans="2:13" s="4" customFormat="1" ht="6.95" customHeight="1" x14ac:dyDescent="0.25">
      <c r="B37" s="121"/>
      <c r="C37" s="122"/>
      <c r="D37" s="122"/>
      <c r="E37" s="122"/>
      <c r="F37" s="122"/>
      <c r="G37" s="122"/>
      <c r="H37" s="122"/>
      <c r="I37" s="122"/>
      <c r="J37" s="122"/>
      <c r="K37" s="122"/>
      <c r="L37" s="122"/>
      <c r="M37" s="123"/>
    </row>
    <row r="38" spans="2:13" s="4" customFormat="1" ht="15" customHeight="1" thickBot="1" x14ac:dyDescent="0.3">
      <c r="B38" s="115" t="s">
        <v>171</v>
      </c>
      <c r="C38" s="116"/>
      <c r="D38" s="116"/>
      <c r="E38" s="116"/>
      <c r="F38" s="116"/>
      <c r="G38" s="116"/>
      <c r="H38" s="116"/>
      <c r="I38" s="116"/>
      <c r="J38" s="116"/>
      <c r="K38" s="116"/>
      <c r="L38" s="116"/>
      <c r="M38" s="117"/>
    </row>
    <row r="39" spans="2:13" ht="6.95" customHeight="1" x14ac:dyDescent="0.25"/>
    <row r="40" spans="2:13" s="4" customFormat="1" ht="15" customHeight="1" x14ac:dyDescent="0.25">
      <c r="B40" s="5" t="s">
        <v>55</v>
      </c>
    </row>
    <row r="41" spans="2:13" ht="6.95" customHeight="1" x14ac:dyDescent="0.25"/>
    <row r="42" spans="2:13" s="4" customFormat="1" ht="15" customHeight="1" x14ac:dyDescent="0.25">
      <c r="B42" s="5" t="s">
        <v>56</v>
      </c>
    </row>
    <row r="43" spans="2:13" s="4" customFormat="1" ht="6.95" customHeight="1" x14ac:dyDescent="0.25">
      <c r="B43" s="49"/>
    </row>
    <row r="44" spans="2:13" s="4" customFormat="1" ht="15" customHeight="1" x14ac:dyDescent="0.25">
      <c r="B44" s="5" t="s">
        <v>91</v>
      </c>
    </row>
    <row r="45" spans="2:13" s="4" customFormat="1" ht="6.95" customHeight="1" x14ac:dyDescent="0.25">
      <c r="B45" s="49"/>
    </row>
    <row r="46" spans="2:13" s="4" customFormat="1" ht="15" customHeight="1" thickBot="1" x14ac:dyDescent="0.3">
      <c r="B46" s="12" t="s">
        <v>170</v>
      </c>
      <c r="E46"/>
      <c r="F46" s="12" t="s">
        <v>162</v>
      </c>
    </row>
    <row r="47" spans="2:13" s="4" customFormat="1" ht="15.75" customHeight="1" thickTop="1" thickBot="1" x14ac:dyDescent="0.3">
      <c r="B47" s="127"/>
      <c r="C47" s="128"/>
      <c r="D47" s="129"/>
      <c r="E47"/>
      <c r="F47" s="127"/>
      <c r="G47" s="128"/>
      <c r="H47" s="129"/>
    </row>
    <row r="48" spans="2:13" ht="15.75" thickTop="1" x14ac:dyDescent="0.25"/>
    <row r="50" spans="2:13" ht="15.75" thickBot="1" x14ac:dyDescent="0.3"/>
    <row r="51" spans="2:13" s="4" customFormat="1" ht="19.5" thickBot="1" x14ac:dyDescent="0.35">
      <c r="B51" s="8" t="s">
        <v>168</v>
      </c>
      <c r="C51" s="9" t="str">
        <f>REPT("★", MIN(B52, 5)) &amp; REPT("☆", 5 - MIN(B52, 5)) &amp; IF(B52 &gt; 5, "+", "")</f>
        <v>★★★☆☆</v>
      </c>
      <c r="E51"/>
      <c r="F51"/>
      <c r="G51"/>
      <c r="H51"/>
    </row>
    <row r="52" spans="2:13" s="4" customFormat="1" ht="6.95" customHeight="1" thickBot="1" x14ac:dyDescent="0.3">
      <c r="B52" s="10">
        <v>3</v>
      </c>
    </row>
    <row r="53" spans="2:13" s="4" customFormat="1" ht="15" customHeight="1" thickBot="1" x14ac:dyDescent="0.3">
      <c r="B53" s="124" t="s">
        <v>172</v>
      </c>
      <c r="C53" s="125"/>
      <c r="D53" s="125"/>
      <c r="E53" s="125"/>
      <c r="F53" s="125"/>
      <c r="G53" s="125"/>
      <c r="H53" s="125"/>
      <c r="I53" s="125"/>
      <c r="J53" s="125"/>
      <c r="K53" s="125"/>
      <c r="L53" s="125"/>
      <c r="M53" s="126"/>
    </row>
    <row r="54" spans="2:13" s="4" customFormat="1" ht="6.95" customHeight="1" x14ac:dyDescent="0.25">
      <c r="B54" s="49"/>
    </row>
    <row r="55" spans="2:13" s="4" customFormat="1" ht="15" customHeight="1" thickBot="1" x14ac:dyDescent="0.3">
      <c r="B55" s="12" t="s">
        <v>170</v>
      </c>
      <c r="E55"/>
      <c r="F55" s="12" t="s">
        <v>176</v>
      </c>
    </row>
    <row r="56" spans="2:13" s="4" customFormat="1" ht="15.75" customHeight="1" thickTop="1" thickBot="1" x14ac:dyDescent="0.3">
      <c r="B56" s="127"/>
      <c r="C56" s="128"/>
      <c r="D56" s="129"/>
      <c r="E56"/>
      <c r="F56" s="127"/>
      <c r="G56" s="128"/>
      <c r="H56" s="129"/>
    </row>
    <row r="57" spans="2:13" ht="15.75" thickTop="1" x14ac:dyDescent="0.25"/>
    <row r="59" spans="2:13" ht="15.75" thickBot="1" x14ac:dyDescent="0.3"/>
    <row r="60" spans="2:13" s="4" customFormat="1" ht="19.5" thickBot="1" x14ac:dyDescent="0.35">
      <c r="B60" s="8" t="s">
        <v>169</v>
      </c>
      <c r="C60" s="9" t="str">
        <f>REPT("★", MIN(B61, 5)) &amp; REPT("☆", 5 - MIN(B61, 5)) &amp; IF(B61 &gt; 5, "+", "")</f>
        <v>★★★☆☆</v>
      </c>
      <c r="E60"/>
      <c r="F60"/>
      <c r="G60"/>
      <c r="H60"/>
    </row>
    <row r="61" spans="2:13" s="4" customFormat="1" ht="6.95" customHeight="1" thickBot="1" x14ac:dyDescent="0.3">
      <c r="B61" s="10">
        <v>3</v>
      </c>
    </row>
    <row r="62" spans="2:13" s="4" customFormat="1" ht="15" customHeight="1" thickBot="1" x14ac:dyDescent="0.3">
      <c r="B62" s="124" t="s">
        <v>180</v>
      </c>
      <c r="C62" s="125"/>
      <c r="D62" s="125"/>
      <c r="E62" s="125"/>
      <c r="F62" s="125"/>
      <c r="G62" s="125"/>
      <c r="H62" s="125"/>
      <c r="I62" s="125"/>
      <c r="J62" s="125"/>
      <c r="K62" s="125"/>
      <c r="L62" s="125"/>
      <c r="M62" s="126"/>
    </row>
    <row r="63" spans="2:13" ht="6.95" customHeight="1" x14ac:dyDescent="0.25"/>
    <row r="64" spans="2:13" s="4" customFormat="1" ht="15" customHeight="1" x14ac:dyDescent="0.25">
      <c r="B64" s="5" t="s">
        <v>55</v>
      </c>
    </row>
    <row r="65" spans="2:13" ht="6.95" customHeight="1" x14ac:dyDescent="0.25"/>
    <row r="66" spans="2:13" s="4" customFormat="1" ht="15" customHeight="1" thickBot="1" x14ac:dyDescent="0.3">
      <c r="B66" s="12" t="s">
        <v>162</v>
      </c>
      <c r="E66"/>
      <c r="F66" s="12" t="s">
        <v>181</v>
      </c>
    </row>
    <row r="67" spans="2:13" s="4" customFormat="1" ht="15.75" customHeight="1" thickTop="1" thickBot="1" x14ac:dyDescent="0.3">
      <c r="B67" s="127"/>
      <c r="C67" s="128"/>
      <c r="D67" s="129"/>
      <c r="E67"/>
      <c r="F67" s="118"/>
      <c r="G67" s="119"/>
      <c r="H67" s="120"/>
    </row>
    <row r="68" spans="2:13" ht="15.75" thickTop="1" x14ac:dyDescent="0.25"/>
    <row r="70" spans="2:13" ht="15.75" thickBot="1" x14ac:dyDescent="0.3"/>
    <row r="71" spans="2:13" s="4" customFormat="1" ht="19.5" thickBot="1" x14ac:dyDescent="0.35">
      <c r="B71" s="8" t="s">
        <v>323</v>
      </c>
      <c r="C71" s="9" t="str">
        <f>REPT("★", MIN(B72, 5)) &amp; REPT("☆", 5 - MIN(B72, 5)) &amp; IF(B72 &gt; 5, "+", "")</f>
        <v>★★★★☆</v>
      </c>
      <c r="E71"/>
      <c r="F71"/>
      <c r="G71"/>
      <c r="H71"/>
    </row>
    <row r="72" spans="2:13" s="4" customFormat="1" ht="6.95" customHeight="1" thickBot="1" x14ac:dyDescent="0.3">
      <c r="B72" s="10">
        <v>4</v>
      </c>
    </row>
    <row r="73" spans="2:13" s="4" customFormat="1" ht="15" customHeight="1" x14ac:dyDescent="0.25">
      <c r="B73" s="112" t="s">
        <v>173</v>
      </c>
      <c r="C73" s="113"/>
      <c r="D73" s="113"/>
      <c r="E73" s="113"/>
      <c r="F73" s="113"/>
      <c r="G73" s="113"/>
      <c r="H73" s="113"/>
      <c r="I73" s="113"/>
      <c r="J73" s="113"/>
      <c r="K73" s="113"/>
      <c r="L73" s="113"/>
      <c r="M73" s="114"/>
    </row>
    <row r="74" spans="2:13" s="4" customFormat="1" ht="6.95" customHeight="1" x14ac:dyDescent="0.25">
      <c r="B74" s="121"/>
      <c r="C74" s="122"/>
      <c r="D74" s="122"/>
      <c r="E74" s="122"/>
      <c r="F74" s="122"/>
      <c r="G74" s="122"/>
      <c r="H74" s="122"/>
      <c r="I74" s="122"/>
      <c r="J74" s="122"/>
      <c r="K74" s="122"/>
      <c r="L74" s="122"/>
      <c r="M74" s="123"/>
    </row>
    <row r="75" spans="2:13" s="4" customFormat="1" ht="15" customHeight="1" thickBot="1" x14ac:dyDescent="0.3">
      <c r="B75" s="115" t="s">
        <v>174</v>
      </c>
      <c r="C75" s="116"/>
      <c r="D75" s="116"/>
      <c r="E75" s="116"/>
      <c r="F75" s="116"/>
      <c r="G75" s="116"/>
      <c r="H75" s="116"/>
      <c r="I75" s="116"/>
      <c r="J75" s="116"/>
      <c r="K75" s="116"/>
      <c r="L75" s="116"/>
      <c r="M75" s="117"/>
    </row>
    <row r="76" spans="2:13" ht="6.95" customHeight="1" x14ac:dyDescent="0.25"/>
    <row r="77" spans="2:13" s="4" customFormat="1" ht="15.75" customHeight="1" x14ac:dyDescent="0.25">
      <c r="B77" s="49" t="s">
        <v>175</v>
      </c>
    </row>
    <row r="78" spans="2:13" s="4" customFormat="1" ht="15" customHeight="1" thickBot="1" x14ac:dyDescent="0.3">
      <c r="B78" s="12" t="s">
        <v>179</v>
      </c>
      <c r="F78" s="12" t="s">
        <v>162</v>
      </c>
    </row>
    <row r="79" spans="2:13" s="4" customFormat="1" ht="15.75" customHeight="1" thickTop="1" thickBot="1" x14ac:dyDescent="0.3">
      <c r="B79" s="127"/>
      <c r="C79" s="128"/>
      <c r="D79" s="129"/>
      <c r="E79"/>
      <c r="F79" s="127"/>
      <c r="G79" s="128"/>
      <c r="H79" s="129"/>
    </row>
    <row r="80" spans="2:13" s="4" customFormat="1" ht="6.95" customHeight="1" thickTop="1" x14ac:dyDescent="0.25"/>
    <row r="81" spans="2:8" s="4" customFormat="1" ht="15.75" customHeight="1" x14ac:dyDescent="0.25">
      <c r="B81" s="49" t="s">
        <v>178</v>
      </c>
    </row>
    <row r="82" spans="2:8" s="4" customFormat="1" ht="15" customHeight="1" thickBot="1" x14ac:dyDescent="0.3">
      <c r="B82" s="12" t="s">
        <v>179</v>
      </c>
      <c r="F82" s="12" t="s">
        <v>176</v>
      </c>
    </row>
    <row r="83" spans="2:8" s="4" customFormat="1" ht="15.75" customHeight="1" thickTop="1" thickBot="1" x14ac:dyDescent="0.3">
      <c r="B83" s="127"/>
      <c r="C83" s="128"/>
      <c r="D83" s="129"/>
      <c r="E83"/>
      <c r="F83" s="127"/>
      <c r="G83" s="128"/>
      <c r="H83" s="129"/>
    </row>
    <row r="84" spans="2:8" ht="15.75" thickTop="1" x14ac:dyDescent="0.25"/>
    <row r="89" spans="2:8" ht="23.25" x14ac:dyDescent="0.35">
      <c r="B89" s="111" t="s">
        <v>267</v>
      </c>
      <c r="C89" s="111"/>
      <c r="D89" s="111"/>
      <c r="F89" s="111" t="s">
        <v>268</v>
      </c>
      <c r="G89" s="111"/>
      <c r="H89" s="111"/>
    </row>
  </sheetData>
  <mergeCells count="29">
    <mergeCell ref="B10:M10"/>
    <mergeCell ref="B12:X12"/>
    <mergeCell ref="B13:X13"/>
    <mergeCell ref="B36:M36"/>
    <mergeCell ref="B37:M37"/>
    <mergeCell ref="B17:M17"/>
    <mergeCell ref="B18:M18"/>
    <mergeCell ref="B19:M19"/>
    <mergeCell ref="B24:D24"/>
    <mergeCell ref="B27:D27"/>
    <mergeCell ref="B30:D30"/>
    <mergeCell ref="B53:M53"/>
    <mergeCell ref="B38:M38"/>
    <mergeCell ref="B47:D47"/>
    <mergeCell ref="F47:H47"/>
    <mergeCell ref="B56:D56"/>
    <mergeCell ref="F56:H56"/>
    <mergeCell ref="B89:D89"/>
    <mergeCell ref="F89:H89"/>
    <mergeCell ref="B62:M62"/>
    <mergeCell ref="B67:D67"/>
    <mergeCell ref="F67:H67"/>
    <mergeCell ref="B79:D79"/>
    <mergeCell ref="F79:H79"/>
    <mergeCell ref="B83:D83"/>
    <mergeCell ref="F83:H83"/>
    <mergeCell ref="B75:M75"/>
    <mergeCell ref="B74:M74"/>
    <mergeCell ref="B73:M73"/>
  </mergeCells>
  <hyperlinks>
    <hyperlink ref="B89:D89" location="'Part 4'!A1" display="◀  Part 4" xr:uid="{445FDF24-DAAA-45A2-B36D-9EA7E7782A23}"/>
    <hyperlink ref="F89:H89" location="'Part 6'!A1" display="Part 6  ▶" xr:uid="{8B9F665B-212A-4FC6-83BE-7AD72FF4B610}"/>
  </hyperlink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F5CE7-7DCF-4D3C-83CE-529669DD7042}">
  <sheetPr codeName="Sheet8"/>
  <dimension ref="B6:X72"/>
  <sheetViews>
    <sheetView showGridLines="0" topLeftCell="A51" zoomScaleNormal="100" workbookViewId="0">
      <selection activeCell="J31" sqref="J31"/>
    </sheetView>
  </sheetViews>
  <sheetFormatPr defaultColWidth="9.140625" defaultRowHeight="15" x14ac:dyDescent="0.25"/>
  <cols>
    <col min="2" max="4" width="9.140625" customWidth="1"/>
  </cols>
  <sheetData>
    <row r="6" spans="2:24" s="4" customFormat="1" x14ac:dyDescent="0.25"/>
    <row r="7" spans="2:24" s="4" customFormat="1" x14ac:dyDescent="0.25"/>
    <row r="8" spans="2:24" s="4" customFormat="1" ht="36" x14ac:dyDescent="0.55000000000000004">
      <c r="B8" s="7" t="s">
        <v>182</v>
      </c>
    </row>
    <row r="9" spans="2:24" s="4" customFormat="1" x14ac:dyDescent="0.25"/>
    <row r="10" spans="2:24" s="4" customFormat="1" ht="21" x14ac:dyDescent="0.35">
      <c r="B10" s="107" t="s">
        <v>184</v>
      </c>
      <c r="C10" s="107"/>
      <c r="D10" s="107"/>
      <c r="E10" s="107"/>
      <c r="F10" s="107"/>
      <c r="G10" s="107"/>
      <c r="H10" s="107"/>
      <c r="I10" s="107"/>
      <c r="J10" s="107"/>
      <c r="K10" s="107"/>
      <c r="L10" s="107"/>
      <c r="M10" s="107"/>
      <c r="N10" s="107"/>
      <c r="O10" s="107"/>
      <c r="P10" s="107"/>
      <c r="Q10" s="107"/>
      <c r="R10" s="107"/>
      <c r="S10" s="107"/>
      <c r="T10" s="107"/>
      <c r="U10" s="107"/>
      <c r="V10" s="107"/>
      <c r="W10" s="107"/>
      <c r="X10" s="107"/>
    </row>
    <row r="11" spans="2:24" s="4" customFormat="1" ht="3" customHeight="1" x14ac:dyDescent="0.35">
      <c r="B11" s="108"/>
      <c r="C11" s="108"/>
      <c r="D11" s="108"/>
      <c r="E11" s="108"/>
      <c r="F11" s="108"/>
      <c r="G11" s="108"/>
      <c r="H11" s="108"/>
      <c r="I11" s="108"/>
      <c r="J11" s="108"/>
      <c r="K11" s="108"/>
      <c r="L11" s="108"/>
      <c r="M11" s="108"/>
      <c r="N11" s="108"/>
      <c r="O11" s="108"/>
      <c r="P11" s="108"/>
      <c r="Q11" s="108"/>
      <c r="R11" s="108"/>
      <c r="S11" s="108"/>
      <c r="T11" s="108"/>
      <c r="U11" s="108"/>
      <c r="V11" s="108"/>
      <c r="W11" s="108"/>
      <c r="X11" s="108"/>
    </row>
    <row r="12" spans="2:24" ht="15.75" thickBot="1" x14ac:dyDescent="0.3"/>
    <row r="13" spans="2:24" s="4" customFormat="1" ht="19.5" thickBot="1" x14ac:dyDescent="0.35">
      <c r="B13" s="8" t="s">
        <v>183</v>
      </c>
      <c r="C13" s="9" t="str">
        <f>REPT("★", MIN(B14, 5)) &amp; REPT("☆", 5 - MIN(B14, 5)) &amp; IF(B14 &gt; 5, "+", "")</f>
        <v>★★★☆☆</v>
      </c>
      <c r="E13"/>
      <c r="F13"/>
      <c r="G13"/>
      <c r="H13"/>
    </row>
    <row r="14" spans="2:24" s="4" customFormat="1" ht="6.95" customHeight="1" thickBot="1" x14ac:dyDescent="0.3">
      <c r="B14" s="10">
        <v>3</v>
      </c>
    </row>
    <row r="15" spans="2:24" s="4" customFormat="1" ht="30" customHeight="1" x14ac:dyDescent="0.25">
      <c r="B15" s="112" t="s">
        <v>278</v>
      </c>
      <c r="C15" s="113"/>
      <c r="D15" s="113"/>
      <c r="E15" s="113"/>
      <c r="F15" s="113"/>
      <c r="G15" s="113"/>
      <c r="H15" s="113"/>
      <c r="I15" s="113"/>
      <c r="J15" s="113"/>
      <c r="K15" s="113"/>
      <c r="L15" s="113"/>
      <c r="M15" s="114"/>
    </row>
    <row r="16" spans="2:24" s="4" customFormat="1" ht="6.95" customHeight="1" x14ac:dyDescent="0.25">
      <c r="B16" s="121"/>
      <c r="C16" s="122"/>
      <c r="D16" s="122"/>
      <c r="E16" s="122"/>
      <c r="F16" s="122"/>
      <c r="G16" s="122"/>
      <c r="H16" s="122"/>
      <c r="I16" s="122"/>
      <c r="J16" s="122"/>
      <c r="K16" s="122"/>
      <c r="L16" s="122"/>
      <c r="M16" s="123"/>
    </row>
    <row r="17" spans="2:24" s="4" customFormat="1" ht="15" customHeight="1" thickBot="1" x14ac:dyDescent="0.3">
      <c r="B17" s="115" t="s">
        <v>324</v>
      </c>
      <c r="C17" s="116"/>
      <c r="D17" s="116"/>
      <c r="E17" s="116"/>
      <c r="F17" s="116"/>
      <c r="G17" s="116"/>
      <c r="H17" s="116"/>
      <c r="I17" s="116"/>
      <c r="J17" s="116"/>
      <c r="K17" s="116"/>
      <c r="L17" s="116"/>
      <c r="M17" s="117"/>
    </row>
    <row r="21" spans="2:24" s="4" customFormat="1" ht="21" x14ac:dyDescent="0.35">
      <c r="B21" s="107" t="s">
        <v>185</v>
      </c>
      <c r="C21" s="107"/>
      <c r="D21" s="107"/>
      <c r="E21" s="107"/>
      <c r="F21" s="107"/>
      <c r="G21" s="107"/>
      <c r="H21" s="107"/>
      <c r="I21" s="107"/>
      <c r="J21" s="107"/>
      <c r="K21" s="107"/>
      <c r="L21" s="107"/>
      <c r="M21" s="107"/>
      <c r="N21" s="107"/>
      <c r="O21" s="107"/>
      <c r="P21" s="107"/>
      <c r="Q21" s="107"/>
      <c r="R21" s="107"/>
      <c r="S21" s="107"/>
      <c r="T21" s="107"/>
      <c r="U21" s="107"/>
      <c r="V21" s="107"/>
      <c r="W21" s="107"/>
      <c r="X21" s="107"/>
    </row>
    <row r="22" spans="2:24" s="4" customFormat="1" ht="3" customHeight="1" x14ac:dyDescent="0.35">
      <c r="B22" s="108"/>
      <c r="C22" s="108"/>
      <c r="D22" s="108"/>
      <c r="E22" s="108"/>
      <c r="F22" s="108"/>
      <c r="G22" s="108"/>
      <c r="H22" s="108"/>
      <c r="I22" s="108"/>
      <c r="J22" s="108"/>
      <c r="K22" s="108"/>
      <c r="L22" s="108"/>
      <c r="M22" s="108"/>
      <c r="N22" s="108"/>
      <c r="O22" s="108"/>
      <c r="P22" s="108"/>
      <c r="Q22" s="108"/>
      <c r="R22" s="108"/>
      <c r="S22" s="108"/>
      <c r="T22" s="108"/>
      <c r="U22" s="108"/>
      <c r="V22" s="108"/>
      <c r="W22" s="108"/>
      <c r="X22" s="108"/>
    </row>
    <row r="23" spans="2:24" ht="15.75" thickBot="1" x14ac:dyDescent="0.3"/>
    <row r="24" spans="2:24" s="4" customFormat="1" ht="19.5" thickBot="1" x14ac:dyDescent="0.35">
      <c r="B24" s="8" t="s">
        <v>186</v>
      </c>
      <c r="C24" s="9" t="str">
        <f>REPT("★", MIN(B25, 5)) &amp; REPT("☆", 5 - MIN(B25, 5)) &amp; IF(B25 &gt; 5, "+", "")</f>
        <v>★★★☆☆</v>
      </c>
      <c r="E24"/>
      <c r="F24"/>
      <c r="G24"/>
      <c r="H24"/>
    </row>
    <row r="25" spans="2:24" s="4" customFormat="1" ht="6.95" customHeight="1" thickBot="1" x14ac:dyDescent="0.3">
      <c r="B25" s="10">
        <v>3</v>
      </c>
    </row>
    <row r="26" spans="2:24" s="4" customFormat="1" ht="30" customHeight="1" x14ac:dyDescent="0.25">
      <c r="B26" s="112" t="s">
        <v>192</v>
      </c>
      <c r="C26" s="113"/>
      <c r="D26" s="113"/>
      <c r="E26" s="113"/>
      <c r="F26" s="113"/>
      <c r="G26" s="113"/>
      <c r="H26" s="113"/>
      <c r="I26" s="113"/>
      <c r="J26" s="113"/>
      <c r="K26" s="113"/>
      <c r="L26" s="113"/>
      <c r="M26" s="114"/>
    </row>
    <row r="27" spans="2:24" s="4" customFormat="1" ht="6.95" customHeight="1" x14ac:dyDescent="0.25">
      <c r="B27" s="121"/>
      <c r="C27" s="122"/>
      <c r="D27" s="122"/>
      <c r="E27" s="122"/>
      <c r="F27" s="122"/>
      <c r="G27" s="122"/>
      <c r="H27" s="122"/>
      <c r="I27" s="122"/>
      <c r="J27" s="122"/>
      <c r="K27" s="122"/>
      <c r="L27" s="122"/>
      <c r="M27" s="123"/>
    </row>
    <row r="28" spans="2:24" s="4" customFormat="1" ht="30" customHeight="1" thickBot="1" x14ac:dyDescent="0.3">
      <c r="B28" s="115" t="s">
        <v>328</v>
      </c>
      <c r="C28" s="116"/>
      <c r="D28" s="116"/>
      <c r="E28" s="116"/>
      <c r="F28" s="116"/>
      <c r="G28" s="116"/>
      <c r="H28" s="116"/>
      <c r="I28" s="116"/>
      <c r="J28" s="116"/>
      <c r="K28" s="116"/>
      <c r="L28" s="116"/>
      <c r="M28" s="117"/>
    </row>
    <row r="29" spans="2:24" s="4" customFormat="1" ht="6.95" customHeight="1" x14ac:dyDescent="0.25"/>
    <row r="30" spans="2:24" s="4" customFormat="1" ht="15" customHeight="1" x14ac:dyDescent="0.25">
      <c r="B30" s="5" t="s">
        <v>55</v>
      </c>
    </row>
    <row r="33" spans="2:13" ht="15.75" thickBot="1" x14ac:dyDescent="0.3"/>
    <row r="34" spans="2:13" s="4" customFormat="1" ht="19.5" thickBot="1" x14ac:dyDescent="0.35">
      <c r="B34" s="8" t="s">
        <v>187</v>
      </c>
      <c r="C34" s="9" t="str">
        <f>REPT("★", MIN(B35, 5)) &amp; REPT("☆", 5 - MIN(B35, 5)) &amp; IF(B35 &gt; 5, "+", "")</f>
        <v>★★☆☆☆</v>
      </c>
      <c r="E34"/>
      <c r="F34"/>
      <c r="G34"/>
      <c r="H34"/>
    </row>
    <row r="35" spans="2:13" s="4" customFormat="1" ht="6.95" customHeight="1" thickBot="1" x14ac:dyDescent="0.3">
      <c r="B35" s="10">
        <v>2</v>
      </c>
    </row>
    <row r="36" spans="2:13" s="4" customFormat="1" ht="15" customHeight="1" thickBot="1" x14ac:dyDescent="0.3">
      <c r="B36" s="124" t="s">
        <v>189</v>
      </c>
      <c r="C36" s="125"/>
      <c r="D36" s="125"/>
      <c r="E36" s="125"/>
      <c r="F36" s="125"/>
      <c r="G36" s="125"/>
      <c r="H36" s="125"/>
      <c r="I36" s="125"/>
      <c r="J36" s="125"/>
      <c r="K36" s="125"/>
      <c r="L36" s="125"/>
      <c r="M36" s="126"/>
    </row>
    <row r="39" spans="2:13" ht="15.75" thickBot="1" x14ac:dyDescent="0.3"/>
    <row r="40" spans="2:13" s="4" customFormat="1" ht="19.5" thickBot="1" x14ac:dyDescent="0.35">
      <c r="B40" s="8" t="s">
        <v>188</v>
      </c>
      <c r="C40" s="9" t="str">
        <f>REPT("★", MIN(B41, 5)) &amp; REPT("☆", 5 - MIN(B41, 5)) &amp; IF(B41 &gt; 5, "+", "")</f>
        <v>★★☆☆☆</v>
      </c>
      <c r="E40"/>
      <c r="F40"/>
      <c r="G40"/>
      <c r="H40"/>
    </row>
    <row r="41" spans="2:13" s="4" customFormat="1" ht="6.95" customHeight="1" thickBot="1" x14ac:dyDescent="0.3">
      <c r="B41" s="10">
        <v>2</v>
      </c>
    </row>
    <row r="42" spans="2:13" s="4" customFormat="1" ht="15" customHeight="1" x14ac:dyDescent="0.25">
      <c r="B42" s="112" t="s">
        <v>193</v>
      </c>
      <c r="C42" s="113"/>
      <c r="D42" s="113"/>
      <c r="E42" s="113"/>
      <c r="F42" s="113"/>
      <c r="G42" s="113"/>
      <c r="H42" s="113"/>
      <c r="I42" s="113"/>
      <c r="J42" s="113"/>
      <c r="K42" s="113"/>
      <c r="L42" s="113"/>
      <c r="M42" s="114"/>
    </row>
    <row r="43" spans="2:13" s="4" customFormat="1" ht="6.95" customHeight="1" x14ac:dyDescent="0.25">
      <c r="B43" s="121"/>
      <c r="C43" s="122"/>
      <c r="D43" s="122"/>
      <c r="E43" s="122"/>
      <c r="F43" s="122"/>
      <c r="G43" s="122"/>
      <c r="H43" s="122"/>
      <c r="I43" s="122"/>
      <c r="J43" s="122"/>
      <c r="K43" s="122"/>
      <c r="L43" s="122"/>
      <c r="M43" s="123"/>
    </row>
    <row r="44" spans="2:13" s="4" customFormat="1" ht="15" customHeight="1" x14ac:dyDescent="0.25">
      <c r="B44" s="121" t="s">
        <v>316</v>
      </c>
      <c r="C44" s="122"/>
      <c r="D44" s="122"/>
      <c r="E44" s="122"/>
      <c r="F44" s="122"/>
      <c r="G44" s="122"/>
      <c r="H44" s="122"/>
      <c r="I44" s="122"/>
      <c r="J44" s="122"/>
      <c r="K44" s="122"/>
      <c r="L44" s="122"/>
      <c r="M44" s="123"/>
    </row>
    <row r="45" spans="2:13" s="4" customFormat="1" ht="15" customHeight="1" thickBot="1" x14ac:dyDescent="0.3">
      <c r="B45" s="115"/>
      <c r="C45" s="116"/>
      <c r="D45" s="116"/>
      <c r="E45" s="116"/>
      <c r="F45" s="116"/>
      <c r="G45" s="116"/>
      <c r="H45" s="116"/>
      <c r="I45" s="116"/>
      <c r="J45" s="116"/>
      <c r="K45" s="116"/>
      <c r="L45" s="116"/>
      <c r="M45" s="117"/>
    </row>
    <row r="49" spans="2:24" s="4" customFormat="1" ht="21" x14ac:dyDescent="0.35">
      <c r="B49" s="107" t="s">
        <v>197</v>
      </c>
      <c r="C49" s="107"/>
      <c r="D49" s="107"/>
      <c r="E49" s="107"/>
      <c r="F49" s="107"/>
      <c r="G49" s="107"/>
      <c r="H49" s="107"/>
      <c r="I49" s="107"/>
      <c r="J49" s="107"/>
      <c r="K49" s="107"/>
      <c r="L49" s="107"/>
      <c r="M49" s="107"/>
      <c r="N49" s="107"/>
      <c r="O49" s="107"/>
      <c r="P49" s="107"/>
      <c r="Q49" s="107"/>
      <c r="R49" s="107"/>
      <c r="S49" s="107"/>
      <c r="T49" s="107"/>
      <c r="U49" s="107"/>
      <c r="V49" s="107"/>
      <c r="W49" s="107"/>
      <c r="X49" s="107"/>
    </row>
    <row r="50" spans="2:24" s="4" customFormat="1" ht="3" customHeight="1" x14ac:dyDescent="0.35">
      <c r="B50" s="108"/>
      <c r="C50" s="108"/>
      <c r="D50" s="108"/>
      <c r="E50" s="108"/>
      <c r="F50" s="108"/>
      <c r="G50" s="108"/>
      <c r="H50" s="108"/>
      <c r="I50" s="108"/>
      <c r="J50" s="108"/>
      <c r="K50" s="108"/>
      <c r="L50" s="108"/>
      <c r="M50" s="108"/>
      <c r="N50" s="108"/>
      <c r="O50" s="108"/>
      <c r="P50" s="108"/>
      <c r="Q50" s="108"/>
      <c r="R50" s="108"/>
      <c r="S50" s="108"/>
      <c r="T50" s="108"/>
      <c r="U50" s="108"/>
      <c r="V50" s="108"/>
      <c r="W50" s="108"/>
      <c r="X50" s="108"/>
    </row>
    <row r="51" spans="2:24" ht="15.75" thickBot="1" x14ac:dyDescent="0.3"/>
    <row r="52" spans="2:24" s="4" customFormat="1" ht="19.5" thickBot="1" x14ac:dyDescent="0.35">
      <c r="B52" s="8" t="s">
        <v>190</v>
      </c>
      <c r="C52" s="9" t="str">
        <f>REPT("★", MIN(B53, 5)) &amp; REPT("☆", 5 - MIN(B53, 5)) &amp; IF(B53 &gt; 5, "+", "")</f>
        <v>★★☆☆☆</v>
      </c>
      <c r="E52"/>
      <c r="F52"/>
      <c r="G52"/>
      <c r="H52"/>
    </row>
    <row r="53" spans="2:24" s="4" customFormat="1" ht="6.95" customHeight="1" thickBot="1" x14ac:dyDescent="0.3">
      <c r="B53" s="10">
        <v>2</v>
      </c>
    </row>
    <row r="54" spans="2:24" s="4" customFormat="1" ht="15" customHeight="1" thickBot="1" x14ac:dyDescent="0.3">
      <c r="B54" s="124" t="s">
        <v>194</v>
      </c>
      <c r="C54" s="125"/>
      <c r="D54" s="125"/>
      <c r="E54" s="125"/>
      <c r="F54" s="125"/>
      <c r="G54" s="125"/>
      <c r="H54" s="125"/>
      <c r="I54" s="125"/>
      <c r="J54" s="125"/>
      <c r="K54" s="125"/>
      <c r="L54" s="125"/>
      <c r="M54" s="126"/>
    </row>
    <row r="57" spans="2:24" ht="15.75" thickBot="1" x14ac:dyDescent="0.3"/>
    <row r="58" spans="2:24" s="4" customFormat="1" ht="19.5" thickBot="1" x14ac:dyDescent="0.35">
      <c r="B58" s="8" t="s">
        <v>191</v>
      </c>
      <c r="C58" s="9" t="str">
        <f>REPT("★", MIN(B59, 5)) &amp; REPT("☆", 5 - MIN(B59, 5)) &amp; IF(B59 &gt; 5, "+", "")</f>
        <v>★★★☆☆</v>
      </c>
      <c r="E58"/>
      <c r="F58"/>
      <c r="G58"/>
      <c r="H58"/>
    </row>
    <row r="59" spans="2:24" s="4" customFormat="1" ht="6.95" customHeight="1" thickBot="1" x14ac:dyDescent="0.3">
      <c r="B59" s="10">
        <v>3</v>
      </c>
    </row>
    <row r="60" spans="2:24" s="4" customFormat="1" ht="15" customHeight="1" thickBot="1" x14ac:dyDescent="0.3">
      <c r="B60" s="124" t="s">
        <v>279</v>
      </c>
      <c r="C60" s="125"/>
      <c r="D60" s="125"/>
      <c r="E60" s="125"/>
      <c r="F60" s="125"/>
      <c r="G60" s="125"/>
      <c r="H60" s="125"/>
      <c r="I60" s="125"/>
      <c r="J60" s="125"/>
      <c r="K60" s="125"/>
      <c r="L60" s="125"/>
      <c r="M60" s="126"/>
    </row>
    <row r="63" spans="2:24" ht="15.75" thickBot="1" x14ac:dyDescent="0.3"/>
    <row r="64" spans="2:24" s="4" customFormat="1" ht="19.5" thickBot="1" x14ac:dyDescent="0.35">
      <c r="B64" s="8" t="s">
        <v>195</v>
      </c>
      <c r="C64" s="9" t="str">
        <f>REPT("★", MIN(B65, 5)) &amp; REPT("☆", 5 - MIN(B65, 5)) &amp; IF(B65 &gt; 5, "+", "")</f>
        <v>★★☆☆☆</v>
      </c>
      <c r="E64"/>
      <c r="F64"/>
      <c r="G64"/>
      <c r="H64"/>
    </row>
    <row r="65" spans="2:13" s="4" customFormat="1" ht="6.95" customHeight="1" thickBot="1" x14ac:dyDescent="0.3">
      <c r="B65" s="10">
        <v>2</v>
      </c>
    </row>
    <row r="66" spans="2:13" s="4" customFormat="1" ht="15" customHeight="1" thickBot="1" x14ac:dyDescent="0.3">
      <c r="B66" s="124" t="s">
        <v>196</v>
      </c>
      <c r="C66" s="125"/>
      <c r="D66" s="125"/>
      <c r="E66" s="125"/>
      <c r="F66" s="125"/>
      <c r="G66" s="125"/>
      <c r="H66" s="125"/>
      <c r="I66" s="125"/>
      <c r="J66" s="125"/>
      <c r="K66" s="125"/>
      <c r="L66" s="125"/>
      <c r="M66" s="126"/>
    </row>
    <row r="72" spans="2:13" ht="23.25" x14ac:dyDescent="0.35">
      <c r="B72" s="111" t="s">
        <v>269</v>
      </c>
      <c r="C72" s="111"/>
      <c r="D72" s="111"/>
      <c r="F72" s="111" t="s">
        <v>270</v>
      </c>
      <c r="G72" s="111"/>
      <c r="H72" s="111"/>
    </row>
  </sheetData>
  <mergeCells count="21">
    <mergeCell ref="B10:X10"/>
    <mergeCell ref="B11:X11"/>
    <mergeCell ref="B15:M15"/>
    <mergeCell ref="B16:M16"/>
    <mergeCell ref="B21:X21"/>
    <mergeCell ref="B17:M17"/>
    <mergeCell ref="B22:X22"/>
    <mergeCell ref="B26:M26"/>
    <mergeCell ref="B27:M27"/>
    <mergeCell ref="B28:M28"/>
    <mergeCell ref="B42:M42"/>
    <mergeCell ref="B44:M45"/>
    <mergeCell ref="B36:M36"/>
    <mergeCell ref="B54:M54"/>
    <mergeCell ref="B72:D72"/>
    <mergeCell ref="F72:H72"/>
    <mergeCell ref="B43:M43"/>
    <mergeCell ref="B60:M60"/>
    <mergeCell ref="B66:M66"/>
    <mergeCell ref="B49:X49"/>
    <mergeCell ref="B50:X50"/>
  </mergeCells>
  <hyperlinks>
    <hyperlink ref="B72:D72" location="'Part 5'!A1" display="◀  Part 5" xr:uid="{3ABB0A63-2596-4444-AFEA-298F8180A4F2}"/>
    <hyperlink ref="F72:H72" location="'Part 7'!A1" display="Part 7  ▶" xr:uid="{0920D154-AE95-43FD-A164-07C2335748B6}"/>
  </hyperlink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44363-5521-4F80-BAEE-3970AC90ADE1}">
  <sheetPr codeName="Sheet9"/>
  <dimension ref="B6:X121"/>
  <sheetViews>
    <sheetView showGridLines="0" topLeftCell="A99" zoomScaleNormal="100" workbookViewId="0"/>
  </sheetViews>
  <sheetFormatPr defaultColWidth="9.140625" defaultRowHeight="15" x14ac:dyDescent="0.25"/>
  <cols>
    <col min="2" max="3" width="9.140625" customWidth="1"/>
  </cols>
  <sheetData>
    <row r="6" spans="2:24" s="4" customFormat="1" x14ac:dyDescent="0.25"/>
    <row r="7" spans="2:24" s="4" customFormat="1" x14ac:dyDescent="0.25"/>
    <row r="8" spans="2:24" s="4" customFormat="1" ht="36" x14ac:dyDescent="0.55000000000000004">
      <c r="B8" s="7" t="s">
        <v>198</v>
      </c>
    </row>
    <row r="9" spans="2:24" s="4" customFormat="1" ht="15.75" thickBot="1" x14ac:dyDescent="0.3"/>
    <row r="10" spans="2:24" s="4" customFormat="1" ht="54.95" customHeight="1" thickBot="1" x14ac:dyDescent="0.3">
      <c r="B10" s="147" t="str">
        <f>'Part 5'!$B$10</f>
        <v>⚠️ Reminder: You may need to refresh the source data for your PivotTables from time to time—for example, when you update a Query. The easiest way to do this is to perform a global refresh by going to Ribbon &gt; Data &gt; Queries &amp; Connections group &gt; Refresh All. This will refresh all PivotTables and Queries.</v>
      </c>
      <c r="C10" s="148"/>
      <c r="D10" s="148"/>
      <c r="E10" s="148"/>
      <c r="F10" s="148"/>
      <c r="G10" s="148"/>
      <c r="H10" s="148"/>
      <c r="I10" s="148"/>
      <c r="J10" s="148"/>
      <c r="K10" s="148"/>
      <c r="L10" s="148"/>
      <c r="M10" s="149"/>
    </row>
    <row r="11" spans="2:24" s="4" customFormat="1" x14ac:dyDescent="0.25"/>
    <row r="12" spans="2:24" s="4" customFormat="1" ht="21" x14ac:dyDescent="0.35">
      <c r="B12" s="107" t="s">
        <v>298</v>
      </c>
      <c r="C12" s="107"/>
      <c r="D12" s="107"/>
      <c r="E12" s="107"/>
      <c r="F12" s="107"/>
      <c r="G12" s="107"/>
      <c r="H12" s="107"/>
      <c r="I12" s="107"/>
      <c r="J12" s="107"/>
      <c r="K12" s="107"/>
      <c r="L12" s="107"/>
      <c r="M12" s="107"/>
      <c r="N12" s="107"/>
      <c r="O12" s="107"/>
      <c r="P12" s="107"/>
      <c r="Q12" s="107"/>
      <c r="R12" s="107"/>
      <c r="S12" s="107"/>
      <c r="T12" s="107"/>
      <c r="U12" s="107"/>
      <c r="V12" s="107"/>
      <c r="W12" s="107"/>
      <c r="X12" s="107"/>
    </row>
    <row r="13" spans="2:24" s="4" customFormat="1" ht="3" customHeight="1" x14ac:dyDescent="0.35">
      <c r="B13" s="108"/>
      <c r="C13" s="108"/>
      <c r="D13" s="108"/>
      <c r="E13" s="108"/>
      <c r="F13" s="108"/>
      <c r="G13" s="108"/>
      <c r="H13" s="108"/>
      <c r="I13" s="108"/>
      <c r="J13" s="108"/>
      <c r="K13" s="108"/>
      <c r="L13" s="108"/>
      <c r="M13" s="108"/>
      <c r="N13" s="108"/>
      <c r="O13" s="108"/>
      <c r="P13" s="108"/>
      <c r="Q13" s="108"/>
      <c r="R13" s="108"/>
      <c r="S13" s="108"/>
      <c r="T13" s="108"/>
      <c r="U13" s="108"/>
      <c r="V13" s="108"/>
      <c r="W13" s="108"/>
      <c r="X13" s="108"/>
    </row>
    <row r="14" spans="2:24" ht="15.75" thickBot="1" x14ac:dyDescent="0.3"/>
    <row r="15" spans="2:24" s="4" customFormat="1" ht="19.5" thickBot="1" x14ac:dyDescent="0.35">
      <c r="B15" s="8" t="s">
        <v>17</v>
      </c>
      <c r="C15" s="9" t="str">
        <f>REPT("★", MIN(B16, 5)) &amp; REPT("☆", 5 - MIN(B16, 5)) &amp; IF(B16 &gt; 5, "+", "")</f>
        <v>★★☆☆☆</v>
      </c>
      <c r="E15"/>
      <c r="F15"/>
      <c r="G15"/>
      <c r="H15"/>
    </row>
    <row r="16" spans="2:24" s="4" customFormat="1" ht="6.95" customHeight="1" thickBot="1" x14ac:dyDescent="0.3">
      <c r="B16" s="10">
        <v>2</v>
      </c>
    </row>
    <row r="17" spans="2:13" s="4" customFormat="1" ht="15" customHeight="1" x14ac:dyDescent="0.25">
      <c r="B17" s="112" t="s">
        <v>199</v>
      </c>
      <c r="C17" s="113"/>
      <c r="D17" s="113"/>
      <c r="E17" s="113"/>
      <c r="F17" s="113"/>
      <c r="G17" s="113"/>
      <c r="H17" s="113"/>
      <c r="I17" s="113"/>
      <c r="J17" s="113"/>
      <c r="K17" s="113"/>
      <c r="L17" s="113"/>
      <c r="M17" s="114"/>
    </row>
    <row r="18" spans="2:13" s="4" customFormat="1" ht="6.95" customHeight="1" x14ac:dyDescent="0.25">
      <c r="B18" s="121"/>
      <c r="C18" s="122"/>
      <c r="D18" s="122"/>
      <c r="E18" s="122"/>
      <c r="F18" s="122"/>
      <c r="G18" s="122"/>
      <c r="H18" s="122"/>
      <c r="I18" s="122"/>
      <c r="J18" s="122"/>
      <c r="K18" s="122"/>
      <c r="L18" s="122"/>
      <c r="M18" s="123"/>
    </row>
    <row r="19" spans="2:13" s="4" customFormat="1" ht="15" customHeight="1" thickBot="1" x14ac:dyDescent="0.3">
      <c r="B19" s="115" t="s">
        <v>204</v>
      </c>
      <c r="C19" s="116"/>
      <c r="D19" s="116"/>
      <c r="E19" s="116"/>
      <c r="F19" s="116"/>
      <c r="G19" s="116"/>
      <c r="H19" s="116"/>
      <c r="I19" s="116"/>
      <c r="J19" s="116"/>
      <c r="K19" s="116"/>
      <c r="L19" s="116"/>
      <c r="M19" s="117"/>
    </row>
    <row r="20" spans="2:13" ht="6.95" customHeight="1" x14ac:dyDescent="0.25"/>
    <row r="21" spans="2:13" s="4" customFormat="1" ht="15" customHeight="1" x14ac:dyDescent="0.25">
      <c r="B21" s="5" t="s">
        <v>9</v>
      </c>
    </row>
    <row r="22" spans="2:13" ht="6.95" customHeight="1" x14ac:dyDescent="0.25"/>
    <row r="23" spans="2:13" s="4" customFormat="1" ht="15" customHeight="1" thickBot="1" x14ac:dyDescent="0.3">
      <c r="B23" s="12" t="s">
        <v>200</v>
      </c>
    </row>
    <row r="24" spans="2:13" s="4" customFormat="1" ht="15.75" customHeight="1" thickTop="1" thickBot="1" x14ac:dyDescent="0.3">
      <c r="B24" s="127"/>
      <c r="C24" s="128"/>
      <c r="D24" s="129"/>
      <c r="E24"/>
      <c r="F24"/>
      <c r="G24"/>
      <c r="H24"/>
    </row>
    <row r="25" spans="2:13" s="4" customFormat="1" ht="6.95" customHeight="1" thickTop="1" x14ac:dyDescent="0.25"/>
    <row r="26" spans="2:13" s="4" customFormat="1" ht="15" customHeight="1" thickBot="1" x14ac:dyDescent="0.3">
      <c r="B26" s="12" t="s">
        <v>201</v>
      </c>
    </row>
    <row r="27" spans="2:13" s="4" customFormat="1" ht="15.75" customHeight="1" thickTop="1" thickBot="1" x14ac:dyDescent="0.3">
      <c r="B27" s="127"/>
      <c r="C27" s="128"/>
      <c r="D27" s="129"/>
      <c r="E27"/>
      <c r="F27"/>
      <c r="G27"/>
      <c r="H27"/>
    </row>
    <row r="28" spans="2:13" ht="6.95" customHeight="1" thickTop="1" x14ac:dyDescent="0.25"/>
    <row r="29" spans="2:13" s="4" customFormat="1" ht="15" customHeight="1" thickBot="1" x14ac:dyDescent="0.3">
      <c r="B29" s="12" t="s">
        <v>202</v>
      </c>
    </row>
    <row r="30" spans="2:13" s="4" customFormat="1" ht="15.75" customHeight="1" thickTop="1" thickBot="1" x14ac:dyDescent="0.3">
      <c r="B30" s="127"/>
      <c r="C30" s="128"/>
      <c r="D30" s="129"/>
      <c r="E30"/>
      <c r="F30"/>
      <c r="G30"/>
      <c r="H30"/>
    </row>
    <row r="31" spans="2:13" ht="6.95" customHeight="1" thickTop="1" x14ac:dyDescent="0.25"/>
    <row r="32" spans="2:13" s="4" customFormat="1" ht="15" customHeight="1" thickBot="1" x14ac:dyDescent="0.3">
      <c r="B32" s="12" t="s">
        <v>219</v>
      </c>
    </row>
    <row r="33" spans="2:24" s="4" customFormat="1" ht="15.75" customHeight="1" thickTop="1" thickBot="1" x14ac:dyDescent="0.3">
      <c r="B33" s="127"/>
      <c r="C33" s="128"/>
      <c r="D33" s="129"/>
      <c r="E33"/>
      <c r="F33"/>
      <c r="G33"/>
      <c r="H33"/>
    </row>
    <row r="34" spans="2:24" ht="15.75" thickTop="1" x14ac:dyDescent="0.25"/>
    <row r="37" spans="2:24" s="4" customFormat="1" ht="21" x14ac:dyDescent="0.35">
      <c r="B37" s="107" t="s">
        <v>299</v>
      </c>
      <c r="C37" s="107"/>
      <c r="D37" s="107"/>
      <c r="E37" s="107"/>
      <c r="F37" s="107"/>
      <c r="G37" s="107"/>
      <c r="H37" s="107"/>
      <c r="I37" s="107"/>
      <c r="J37" s="107"/>
      <c r="K37" s="107"/>
      <c r="L37" s="107"/>
      <c r="M37" s="107"/>
      <c r="N37" s="107"/>
      <c r="O37" s="107"/>
      <c r="P37" s="107"/>
      <c r="Q37" s="107"/>
      <c r="R37" s="107"/>
      <c r="S37" s="107"/>
      <c r="T37" s="107"/>
      <c r="U37" s="107"/>
      <c r="V37" s="107"/>
      <c r="W37" s="107"/>
      <c r="X37" s="107"/>
    </row>
    <row r="38" spans="2:24" s="4" customFormat="1" ht="3" customHeight="1" x14ac:dyDescent="0.35">
      <c r="B38" s="108"/>
      <c r="C38" s="108"/>
      <c r="D38" s="108"/>
      <c r="E38" s="108"/>
      <c r="F38" s="108"/>
      <c r="G38" s="108"/>
      <c r="H38" s="108"/>
      <c r="I38" s="108"/>
      <c r="J38" s="108"/>
      <c r="K38" s="108"/>
      <c r="L38" s="108"/>
      <c r="M38" s="108"/>
      <c r="N38" s="108"/>
      <c r="O38" s="108"/>
      <c r="P38" s="108"/>
      <c r="Q38" s="108"/>
      <c r="R38" s="108"/>
      <c r="S38" s="108"/>
      <c r="T38" s="108"/>
      <c r="U38" s="108"/>
      <c r="V38" s="108"/>
      <c r="W38" s="108"/>
      <c r="X38" s="108"/>
    </row>
    <row r="39" spans="2:24" ht="15.75" thickBot="1" x14ac:dyDescent="0.3"/>
    <row r="40" spans="2:24" s="4" customFormat="1" ht="19.5" thickBot="1" x14ac:dyDescent="0.35">
      <c r="B40" s="8" t="s">
        <v>18</v>
      </c>
      <c r="C40" s="9" t="str">
        <f>REPT("★", MIN(B41, 5)) &amp; REPT("☆", 5 - MIN(B41, 5)) &amp; IF(B41 &gt; 5, "+", "")</f>
        <v>★★★★☆</v>
      </c>
      <c r="E40"/>
      <c r="F40"/>
      <c r="G40"/>
      <c r="H40"/>
    </row>
    <row r="41" spans="2:24" s="4" customFormat="1" ht="6.95" customHeight="1" thickBot="1" x14ac:dyDescent="0.3">
      <c r="B41" s="10">
        <v>4</v>
      </c>
    </row>
    <row r="42" spans="2:24" s="4" customFormat="1" ht="30" customHeight="1" x14ac:dyDescent="0.25">
      <c r="B42" s="112" t="s">
        <v>205</v>
      </c>
      <c r="C42" s="113"/>
      <c r="D42" s="113"/>
      <c r="E42" s="113"/>
      <c r="F42" s="113"/>
      <c r="G42" s="113"/>
      <c r="H42" s="113"/>
      <c r="I42" s="113"/>
      <c r="J42" s="113"/>
      <c r="K42" s="113"/>
      <c r="L42" s="113"/>
      <c r="M42" s="114"/>
    </row>
    <row r="43" spans="2:24" s="4" customFormat="1" ht="6.95" customHeight="1" x14ac:dyDescent="0.25">
      <c r="B43" s="121"/>
      <c r="C43" s="122"/>
      <c r="D43" s="122"/>
      <c r="E43" s="122"/>
      <c r="F43" s="122"/>
      <c r="G43" s="122"/>
      <c r="H43" s="122"/>
      <c r="I43" s="122"/>
      <c r="J43" s="122"/>
      <c r="K43" s="122"/>
      <c r="L43" s="122"/>
      <c r="M43" s="123"/>
    </row>
    <row r="44" spans="2:24" s="4" customFormat="1" ht="15" customHeight="1" thickBot="1" x14ac:dyDescent="0.3">
      <c r="B44" s="115" t="s">
        <v>207</v>
      </c>
      <c r="C44" s="116"/>
      <c r="D44" s="116"/>
      <c r="E44" s="116"/>
      <c r="F44" s="116"/>
      <c r="G44" s="116"/>
      <c r="H44" s="116"/>
      <c r="I44" s="116"/>
      <c r="J44" s="116"/>
      <c r="K44" s="116"/>
      <c r="L44" s="116"/>
      <c r="M44" s="117"/>
    </row>
    <row r="45" spans="2:24" ht="6.95" customHeight="1" x14ac:dyDescent="0.25"/>
    <row r="46" spans="2:24" s="4" customFormat="1" ht="15" customHeight="1" x14ac:dyDescent="0.25">
      <c r="B46" s="5" t="s">
        <v>9</v>
      </c>
    </row>
    <row r="47" spans="2:24" s="4" customFormat="1" ht="6.95" customHeight="1" x14ac:dyDescent="0.25">
      <c r="B47" s="49"/>
    </row>
    <row r="48" spans="2:24" s="4" customFormat="1" ht="15.75" customHeight="1" x14ac:dyDescent="0.25">
      <c r="B48" s="49" t="s">
        <v>208</v>
      </c>
    </row>
    <row r="49" spans="2:24" s="4" customFormat="1" ht="15" customHeight="1" thickBot="1" x14ac:dyDescent="0.3">
      <c r="B49" s="12" t="s">
        <v>209</v>
      </c>
      <c r="F49" s="12" t="s">
        <v>210</v>
      </c>
    </row>
    <row r="50" spans="2:24" s="4" customFormat="1" ht="15.75" customHeight="1" thickTop="1" thickBot="1" x14ac:dyDescent="0.3">
      <c r="B50" s="127"/>
      <c r="C50" s="128"/>
      <c r="D50" s="129"/>
      <c r="E50"/>
      <c r="F50" s="150"/>
      <c r="G50" s="151"/>
      <c r="H50" s="152"/>
    </row>
    <row r="51" spans="2:24" s="4" customFormat="1" ht="6.95" customHeight="1" thickTop="1" x14ac:dyDescent="0.25"/>
    <row r="52" spans="2:24" s="4" customFormat="1" ht="15.75" customHeight="1" x14ac:dyDescent="0.25">
      <c r="B52" s="49" t="s">
        <v>317</v>
      </c>
    </row>
    <row r="53" spans="2:24" s="4" customFormat="1" ht="15" customHeight="1" thickBot="1" x14ac:dyDescent="0.3">
      <c r="B53" s="12" t="s">
        <v>209</v>
      </c>
      <c r="F53" s="12" t="s">
        <v>211</v>
      </c>
    </row>
    <row r="54" spans="2:24" s="4" customFormat="1" ht="15.75" customHeight="1" thickTop="1" thickBot="1" x14ac:dyDescent="0.3">
      <c r="B54" s="127"/>
      <c r="C54" s="128"/>
      <c r="D54" s="129"/>
      <c r="E54"/>
      <c r="F54" s="150"/>
      <c r="G54" s="151"/>
      <c r="H54" s="152"/>
    </row>
    <row r="55" spans="2:24" ht="15.75" thickTop="1" x14ac:dyDescent="0.25"/>
    <row r="58" spans="2:24" s="4" customFormat="1" ht="21" x14ac:dyDescent="0.35">
      <c r="B58" s="107" t="s">
        <v>300</v>
      </c>
      <c r="C58" s="107"/>
      <c r="D58" s="107"/>
      <c r="E58" s="107"/>
      <c r="F58" s="107"/>
      <c r="G58" s="107"/>
      <c r="H58" s="107"/>
      <c r="I58" s="107"/>
      <c r="J58" s="107"/>
      <c r="K58" s="107"/>
      <c r="L58" s="107"/>
      <c r="M58" s="107"/>
      <c r="N58" s="107"/>
      <c r="O58" s="107"/>
      <c r="P58" s="107"/>
      <c r="Q58" s="107"/>
      <c r="R58" s="107"/>
      <c r="S58" s="107"/>
      <c r="T58" s="107"/>
      <c r="U58" s="107"/>
      <c r="V58" s="107"/>
      <c r="W58" s="107"/>
      <c r="X58" s="107"/>
    </row>
    <row r="59" spans="2:24" s="4" customFormat="1" ht="3" customHeight="1" x14ac:dyDescent="0.35">
      <c r="B59" s="108"/>
      <c r="C59" s="108"/>
      <c r="D59" s="108"/>
      <c r="E59" s="108"/>
      <c r="F59" s="108"/>
      <c r="G59" s="108"/>
      <c r="H59" s="108"/>
      <c r="I59" s="108"/>
      <c r="J59" s="108"/>
      <c r="K59" s="108"/>
      <c r="L59" s="108"/>
      <c r="M59" s="108"/>
      <c r="N59" s="108"/>
      <c r="O59" s="108"/>
      <c r="P59" s="108"/>
      <c r="Q59" s="108"/>
      <c r="R59" s="108"/>
      <c r="S59" s="108"/>
      <c r="T59" s="108"/>
      <c r="U59" s="108"/>
      <c r="V59" s="108"/>
      <c r="W59" s="108"/>
      <c r="X59" s="108"/>
    </row>
    <row r="60" spans="2:24" ht="15.75" thickBot="1" x14ac:dyDescent="0.3"/>
    <row r="61" spans="2:24" s="4" customFormat="1" ht="19.5" thickBot="1" x14ac:dyDescent="0.35">
      <c r="B61" s="8" t="s">
        <v>19</v>
      </c>
      <c r="C61" s="9" t="str">
        <f>REPT("★", MIN(B62, 5)) &amp; REPT("☆", 5 - MIN(B62, 5)) &amp; IF(B62 &gt; 5, "+", "")</f>
        <v>★☆☆☆☆</v>
      </c>
      <c r="F61" s="11" t="s">
        <v>7</v>
      </c>
      <c r="H61" s="11"/>
    </row>
    <row r="62" spans="2:24" s="4" customFormat="1" ht="6.95" customHeight="1" thickBot="1" x14ac:dyDescent="0.3">
      <c r="B62" s="10">
        <v>1</v>
      </c>
    </row>
    <row r="63" spans="2:24" s="4" customFormat="1" ht="15" customHeight="1" thickBot="1" x14ac:dyDescent="0.3">
      <c r="B63" s="124" t="s">
        <v>212</v>
      </c>
      <c r="C63" s="125"/>
      <c r="D63" s="125"/>
      <c r="E63" s="125"/>
      <c r="F63" s="125"/>
      <c r="G63" s="125"/>
      <c r="H63" s="125"/>
      <c r="I63" s="125"/>
      <c r="J63" s="125"/>
      <c r="K63" s="125"/>
      <c r="L63" s="125"/>
      <c r="M63" s="126"/>
    </row>
    <row r="64" spans="2:24" s="4" customFormat="1" ht="6.95" customHeight="1" thickBot="1" x14ac:dyDescent="0.3"/>
    <row r="65" spans="2:13" s="4" customFormat="1" ht="15.75" customHeight="1" thickTop="1" x14ac:dyDescent="0.25">
      <c r="B65" s="130"/>
      <c r="C65" s="131"/>
      <c r="D65" s="131"/>
      <c r="E65" s="131"/>
      <c r="F65" s="131"/>
      <c r="G65" s="131"/>
      <c r="H65" s="131"/>
      <c r="I65" s="131"/>
      <c r="J65" s="131"/>
      <c r="K65" s="131"/>
      <c r="L65" s="131"/>
      <c r="M65" s="132"/>
    </row>
    <row r="66" spans="2:13" s="4" customFormat="1" ht="15.75" customHeight="1" thickBot="1" x14ac:dyDescent="0.3">
      <c r="B66" s="136"/>
      <c r="C66" s="137"/>
      <c r="D66" s="137"/>
      <c r="E66" s="137"/>
      <c r="F66" s="137"/>
      <c r="G66" s="137"/>
      <c r="H66" s="137"/>
      <c r="I66" s="137"/>
      <c r="J66" s="137"/>
      <c r="K66" s="137"/>
      <c r="L66" s="137"/>
      <c r="M66" s="138"/>
    </row>
    <row r="67" spans="2:13" ht="15.75" thickTop="1" x14ac:dyDescent="0.25"/>
    <row r="69" spans="2:13" ht="15.75" thickBot="1" x14ac:dyDescent="0.3"/>
    <row r="70" spans="2:13" s="4" customFormat="1" ht="19.5" thickBot="1" x14ac:dyDescent="0.35">
      <c r="B70" s="8" t="s">
        <v>20</v>
      </c>
      <c r="C70" s="9" t="str">
        <f>REPT("★", MIN(B71, 5)) &amp; REPT("☆", 5 - MIN(B71, 5)) &amp; IF(B71 &gt; 5, "+", "")</f>
        <v>★★★☆☆</v>
      </c>
      <c r="E70"/>
      <c r="F70"/>
      <c r="G70"/>
      <c r="H70"/>
    </row>
    <row r="71" spans="2:13" s="4" customFormat="1" ht="6.95" customHeight="1" thickBot="1" x14ac:dyDescent="0.3">
      <c r="B71" s="10">
        <v>3</v>
      </c>
    </row>
    <row r="72" spans="2:13" s="4" customFormat="1" ht="30" customHeight="1" thickBot="1" x14ac:dyDescent="0.3">
      <c r="B72" s="124" t="s">
        <v>214</v>
      </c>
      <c r="C72" s="125"/>
      <c r="D72" s="125"/>
      <c r="E72" s="125"/>
      <c r="F72" s="125"/>
      <c r="G72" s="125"/>
      <c r="H72" s="125"/>
      <c r="I72" s="125"/>
      <c r="J72" s="125"/>
      <c r="K72" s="125"/>
      <c r="L72" s="125"/>
      <c r="M72" s="126"/>
    </row>
    <row r="73" spans="2:13" ht="15" customHeight="1" x14ac:dyDescent="0.25"/>
    <row r="74" spans="2:13" ht="15" customHeight="1" x14ac:dyDescent="0.25"/>
    <row r="75" spans="2:13" ht="15" customHeight="1" x14ac:dyDescent="0.25"/>
    <row r="76" spans="2:13" ht="15" customHeight="1" x14ac:dyDescent="0.25"/>
    <row r="77" spans="2:13" ht="15" customHeight="1" x14ac:dyDescent="0.25"/>
    <row r="78" spans="2:13" ht="15" customHeight="1" x14ac:dyDescent="0.25"/>
    <row r="79" spans="2:13" ht="15" customHeight="1" x14ac:dyDescent="0.25"/>
    <row r="80" spans="2:13" ht="15" customHeight="1" x14ac:dyDescent="0.25"/>
    <row r="81" spans="2:24" ht="15" customHeight="1" x14ac:dyDescent="0.25"/>
    <row r="82" spans="2:24" ht="15" customHeight="1" x14ac:dyDescent="0.25"/>
    <row r="83" spans="2:24" ht="15" customHeight="1" x14ac:dyDescent="0.25"/>
    <row r="84" spans="2:24" ht="15" customHeight="1" x14ac:dyDescent="0.25"/>
    <row r="85" spans="2:24" ht="15" customHeight="1" x14ac:dyDescent="0.25"/>
    <row r="86" spans="2:24" ht="15" customHeight="1" x14ac:dyDescent="0.25"/>
    <row r="87" spans="2:24" s="4" customFormat="1" ht="15" customHeight="1" x14ac:dyDescent="0.25">
      <c r="B87" s="12" t="s">
        <v>213</v>
      </c>
      <c r="E87"/>
      <c r="F87"/>
      <c r="G87"/>
    </row>
    <row r="88" spans="2:24" s="4" customFormat="1" ht="6.95" customHeight="1" thickBot="1" x14ac:dyDescent="0.3"/>
    <row r="89" spans="2:24" s="4" customFormat="1" ht="15.75" customHeight="1" thickTop="1" x14ac:dyDescent="0.25">
      <c r="B89" s="130"/>
      <c r="C89" s="131"/>
      <c r="D89" s="131"/>
      <c r="E89" s="131"/>
      <c r="F89" s="131"/>
      <c r="G89" s="131"/>
      <c r="H89" s="131"/>
      <c r="I89" s="131"/>
      <c r="J89" s="131"/>
      <c r="K89" s="131"/>
      <c r="L89" s="131"/>
      <c r="M89" s="132"/>
    </row>
    <row r="90" spans="2:24" s="4" customFormat="1" ht="15.75" customHeight="1" thickBot="1" x14ac:dyDescent="0.3">
      <c r="B90" s="136"/>
      <c r="C90" s="137"/>
      <c r="D90" s="137"/>
      <c r="E90" s="137"/>
      <c r="F90" s="137"/>
      <c r="G90" s="137"/>
      <c r="H90" s="137"/>
      <c r="I90" s="137"/>
      <c r="J90" s="137"/>
      <c r="K90" s="137"/>
      <c r="L90" s="137"/>
      <c r="M90" s="138"/>
    </row>
    <row r="91" spans="2:24" ht="15.75" thickTop="1" x14ac:dyDescent="0.25"/>
    <row r="94" spans="2:24" s="4" customFormat="1" ht="21" x14ac:dyDescent="0.35">
      <c r="B94" s="107" t="s">
        <v>301</v>
      </c>
      <c r="C94" s="107"/>
      <c r="D94" s="107"/>
      <c r="E94" s="107"/>
      <c r="F94" s="107"/>
      <c r="G94" s="107"/>
      <c r="H94" s="107"/>
      <c r="I94" s="107"/>
      <c r="J94" s="107"/>
      <c r="K94" s="107"/>
      <c r="L94" s="107"/>
      <c r="M94" s="107"/>
      <c r="N94" s="107"/>
      <c r="O94" s="107"/>
      <c r="P94" s="107"/>
      <c r="Q94" s="107"/>
      <c r="R94" s="107"/>
      <c r="S94" s="107"/>
      <c r="T94" s="107"/>
      <c r="U94" s="107"/>
      <c r="V94" s="107"/>
      <c r="W94" s="107"/>
      <c r="X94" s="107"/>
    </row>
    <row r="95" spans="2:24" s="4" customFormat="1" ht="3" customHeight="1" x14ac:dyDescent="0.35">
      <c r="B95" s="108"/>
      <c r="C95" s="108"/>
      <c r="D95" s="108"/>
      <c r="E95" s="108"/>
      <c r="F95" s="108"/>
      <c r="G95" s="108"/>
      <c r="H95" s="108"/>
      <c r="I95" s="108"/>
      <c r="J95" s="108"/>
      <c r="K95" s="108"/>
      <c r="L95" s="108"/>
      <c r="M95" s="108"/>
      <c r="N95" s="108"/>
      <c r="O95" s="108"/>
      <c r="P95" s="108"/>
      <c r="Q95" s="108"/>
      <c r="R95" s="108"/>
      <c r="S95" s="108"/>
      <c r="T95" s="108"/>
      <c r="U95" s="108"/>
      <c r="V95" s="108"/>
      <c r="W95" s="108"/>
      <c r="X95" s="108"/>
    </row>
    <row r="96" spans="2:24" ht="15.75" thickBot="1" x14ac:dyDescent="0.3"/>
    <row r="97" spans="2:13" s="4" customFormat="1" ht="19.5" thickBot="1" x14ac:dyDescent="0.35">
      <c r="B97" s="8" t="s">
        <v>215</v>
      </c>
      <c r="C97" s="9" t="str">
        <f>REPT("★", MIN(B98, 5)) &amp; REPT("☆", 5 - MIN(B98, 5)) &amp; IF(B98 &gt; 5, "+", "")</f>
        <v>★★★☆☆</v>
      </c>
      <c r="E97"/>
      <c r="F97"/>
      <c r="G97"/>
      <c r="H97"/>
    </row>
    <row r="98" spans="2:13" s="4" customFormat="1" ht="6.95" customHeight="1" thickBot="1" x14ac:dyDescent="0.3">
      <c r="B98" s="10">
        <v>3</v>
      </c>
    </row>
    <row r="99" spans="2:13" s="4" customFormat="1" ht="15" customHeight="1" thickBot="1" x14ac:dyDescent="0.3">
      <c r="B99" s="124" t="s">
        <v>304</v>
      </c>
      <c r="C99" s="125"/>
      <c r="D99" s="125"/>
      <c r="E99" s="125"/>
      <c r="F99" s="125"/>
      <c r="G99" s="125"/>
      <c r="H99" s="125"/>
      <c r="I99" s="125"/>
      <c r="J99" s="125"/>
      <c r="K99" s="125"/>
      <c r="L99" s="125"/>
      <c r="M99" s="126"/>
    </row>
    <row r="100" spans="2:13" ht="6.95" customHeight="1" x14ac:dyDescent="0.25"/>
    <row r="101" spans="2:13" s="4" customFormat="1" ht="15" customHeight="1" thickBot="1" x14ac:dyDescent="0.3">
      <c r="B101" s="12" t="s">
        <v>305</v>
      </c>
      <c r="E101"/>
      <c r="F101"/>
      <c r="G101"/>
      <c r="H101"/>
    </row>
    <row r="102" spans="2:13" s="4" customFormat="1" ht="15.75" customHeight="1" thickTop="1" thickBot="1" x14ac:dyDescent="0.3">
      <c r="B102" s="127"/>
      <c r="C102" s="128"/>
      <c r="D102" s="129"/>
      <c r="E102"/>
      <c r="F102"/>
      <c r="G102"/>
      <c r="H102"/>
    </row>
    <row r="103" spans="2:13" ht="15.75" thickTop="1" x14ac:dyDescent="0.25"/>
    <row r="105" spans="2:13" ht="15.75" thickBot="1" x14ac:dyDescent="0.3"/>
    <row r="106" spans="2:13" s="4" customFormat="1" ht="19.5" thickBot="1" x14ac:dyDescent="0.35">
      <c r="B106" s="8" t="s">
        <v>216</v>
      </c>
      <c r="C106" s="9" t="str">
        <f>REPT("★", MIN(B107, 5)) &amp; REPT("☆", 5 - MIN(B107, 5)) &amp; IF(B107 &gt; 5, "+", "")</f>
        <v>★★★☆☆</v>
      </c>
      <c r="E106"/>
      <c r="F106"/>
      <c r="G106"/>
      <c r="H106"/>
    </row>
    <row r="107" spans="2:13" s="4" customFormat="1" ht="6.95" customHeight="1" thickBot="1" x14ac:dyDescent="0.3">
      <c r="B107" s="10">
        <v>3</v>
      </c>
    </row>
    <row r="108" spans="2:13" s="4" customFormat="1" ht="30" customHeight="1" x14ac:dyDescent="0.25">
      <c r="B108" s="112" t="s">
        <v>306</v>
      </c>
      <c r="C108" s="113"/>
      <c r="D108" s="113"/>
      <c r="E108" s="113"/>
      <c r="F108" s="113"/>
      <c r="G108" s="113"/>
      <c r="H108" s="113"/>
      <c r="I108" s="113"/>
      <c r="J108" s="113"/>
      <c r="K108" s="113"/>
      <c r="L108" s="113"/>
      <c r="M108" s="114"/>
    </row>
    <row r="109" spans="2:13" s="4" customFormat="1" ht="6.95" customHeight="1" x14ac:dyDescent="0.25">
      <c r="B109" s="121"/>
      <c r="C109" s="122"/>
      <c r="D109" s="122"/>
      <c r="E109" s="122"/>
      <c r="F109" s="122"/>
      <c r="G109" s="122"/>
      <c r="H109" s="122"/>
      <c r="I109" s="122"/>
      <c r="J109" s="122"/>
      <c r="K109" s="122"/>
      <c r="L109" s="122"/>
      <c r="M109" s="123"/>
    </row>
    <row r="110" spans="2:13" s="4" customFormat="1" ht="15" customHeight="1" thickBot="1" x14ac:dyDescent="0.3">
      <c r="B110" s="115" t="s">
        <v>217</v>
      </c>
      <c r="C110" s="116"/>
      <c r="D110" s="116"/>
      <c r="E110" s="116"/>
      <c r="F110" s="116"/>
      <c r="G110" s="116"/>
      <c r="H110" s="116"/>
      <c r="I110" s="116"/>
      <c r="J110" s="116"/>
      <c r="K110" s="116"/>
      <c r="L110" s="116"/>
      <c r="M110" s="117"/>
    </row>
    <row r="111" spans="2:13" ht="6.95" customHeight="1" x14ac:dyDescent="0.25"/>
    <row r="112" spans="2:13" x14ac:dyDescent="0.25">
      <c r="B112" s="84" t="s">
        <v>101</v>
      </c>
      <c r="C112" s="85"/>
      <c r="D112" s="85" t="s">
        <v>218</v>
      </c>
      <c r="E112" s="86"/>
    </row>
    <row r="113" spans="2:8" x14ac:dyDescent="0.25">
      <c r="B113" s="95"/>
      <c r="C113" s="76"/>
      <c r="D113" s="98"/>
      <c r="E113" s="99"/>
    </row>
    <row r="114" spans="2:8" x14ac:dyDescent="0.25">
      <c r="B114" s="96"/>
      <c r="C114" s="79"/>
      <c r="D114" s="100"/>
      <c r="E114" s="101"/>
    </row>
    <row r="115" spans="2:8" x14ac:dyDescent="0.25">
      <c r="B115" s="97"/>
      <c r="C115" s="83"/>
      <c r="D115" s="102"/>
      <c r="E115" s="103"/>
    </row>
    <row r="121" spans="2:8" ht="23.25" x14ac:dyDescent="0.35">
      <c r="B121" s="111" t="s">
        <v>271</v>
      </c>
      <c r="C121" s="111"/>
      <c r="D121" s="111"/>
      <c r="F121" s="111" t="s">
        <v>272</v>
      </c>
      <c r="G121" s="111"/>
      <c r="H121" s="111"/>
    </row>
  </sheetData>
  <mergeCells count="34">
    <mergeCell ref="B10:M10"/>
    <mergeCell ref="B37:X37"/>
    <mergeCell ref="B38:X38"/>
    <mergeCell ref="B58:X58"/>
    <mergeCell ref="B59:X59"/>
    <mergeCell ref="B54:D54"/>
    <mergeCell ref="B12:X12"/>
    <mergeCell ref="B13:X13"/>
    <mergeCell ref="B17:M17"/>
    <mergeCell ref="B18:M18"/>
    <mergeCell ref="B19:M19"/>
    <mergeCell ref="B42:M42"/>
    <mergeCell ref="B43:M43"/>
    <mergeCell ref="B44:M44"/>
    <mergeCell ref="B24:D24"/>
    <mergeCell ref="B27:D27"/>
    <mergeCell ref="B30:D30"/>
    <mergeCell ref="B102:D102"/>
    <mergeCell ref="B33:D33"/>
    <mergeCell ref="B63:M63"/>
    <mergeCell ref="B65:M66"/>
    <mergeCell ref="B89:M90"/>
    <mergeCell ref="B99:M99"/>
    <mergeCell ref="B94:X94"/>
    <mergeCell ref="B95:X95"/>
    <mergeCell ref="B110:M110"/>
    <mergeCell ref="B72:M72"/>
    <mergeCell ref="B50:D50"/>
    <mergeCell ref="F50:H50"/>
    <mergeCell ref="F121:H121"/>
    <mergeCell ref="B121:D121"/>
    <mergeCell ref="F54:H54"/>
    <mergeCell ref="B108:M108"/>
    <mergeCell ref="B109:M109"/>
  </mergeCells>
  <hyperlinks>
    <hyperlink ref="F61:H61" location="titleTables" display="Go to tables" xr:uid="{E178AD58-ABCA-42DC-9A77-4B6A5D96201E}"/>
    <hyperlink ref="F61" location="titleTables" display="Go to tables" xr:uid="{377F80AB-A5BB-44F9-BA60-71E43C5B954D}"/>
    <hyperlink ref="B121:D121" location="'Part 6'!A1" display="◀  Part 6" xr:uid="{6226B877-2F97-45D9-9069-928C578AFDE4}"/>
    <hyperlink ref="F121:H121" location="'Part 8'!A1" display="Part 8  ▶" xr:uid="{BC072EE6-C7CC-42EA-AACF-4B9596242048}"/>
  </hyperlink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8DCEB-766D-4EEE-A33B-3ABAEDF7E2C1}">
  <sheetPr codeName="Sheet10"/>
  <dimension ref="B6:X59"/>
  <sheetViews>
    <sheetView showGridLines="0" topLeftCell="A44" zoomScaleNormal="100" workbookViewId="0">
      <selection activeCell="L23" sqref="L23"/>
    </sheetView>
  </sheetViews>
  <sheetFormatPr defaultColWidth="9.140625" defaultRowHeight="15" x14ac:dyDescent="0.25"/>
  <cols>
    <col min="2" max="4" width="9.140625" customWidth="1"/>
  </cols>
  <sheetData>
    <row r="6" spans="2:24" s="4" customFormat="1" x14ac:dyDescent="0.25"/>
    <row r="7" spans="2:24" s="4" customFormat="1" x14ac:dyDescent="0.25"/>
    <row r="8" spans="2:24" s="4" customFormat="1" ht="36" x14ac:dyDescent="0.55000000000000004">
      <c r="B8" s="7" t="s">
        <v>231</v>
      </c>
    </row>
    <row r="9" spans="2:24" s="4" customFormat="1" x14ac:dyDescent="0.25"/>
    <row r="10" spans="2:24" s="4" customFormat="1" ht="21" x14ac:dyDescent="0.35">
      <c r="B10" s="107" t="s">
        <v>222</v>
      </c>
      <c r="C10" s="107"/>
      <c r="D10" s="107"/>
      <c r="E10" s="107"/>
      <c r="F10" s="107"/>
      <c r="G10" s="107"/>
      <c r="H10" s="107"/>
      <c r="I10" s="107"/>
      <c r="J10" s="107"/>
      <c r="K10" s="107"/>
      <c r="L10" s="107"/>
      <c r="M10" s="107"/>
      <c r="N10" s="107"/>
      <c r="O10" s="107"/>
      <c r="P10" s="107"/>
      <c r="Q10" s="107"/>
      <c r="R10" s="107"/>
      <c r="S10" s="107"/>
      <c r="T10" s="107"/>
      <c r="U10" s="107"/>
      <c r="V10" s="107"/>
      <c r="W10" s="107"/>
      <c r="X10" s="107"/>
    </row>
    <row r="11" spans="2:24" s="4" customFormat="1" ht="3" customHeight="1" x14ac:dyDescent="0.35">
      <c r="B11" s="108"/>
      <c r="C11" s="108"/>
      <c r="D11" s="108"/>
      <c r="E11" s="108"/>
      <c r="F11" s="108"/>
      <c r="G11" s="108"/>
      <c r="H11" s="108"/>
      <c r="I11" s="108"/>
      <c r="J11" s="108"/>
      <c r="K11" s="108"/>
      <c r="L11" s="108"/>
      <c r="M11" s="108"/>
      <c r="N11" s="108"/>
      <c r="O11" s="108"/>
      <c r="P11" s="108"/>
      <c r="Q11" s="108"/>
      <c r="R11" s="108"/>
      <c r="S11" s="108"/>
      <c r="T11" s="108"/>
      <c r="U11" s="108"/>
      <c r="V11" s="108"/>
      <c r="W11" s="108"/>
      <c r="X11" s="108"/>
    </row>
    <row r="12" spans="2:24" ht="15.75" thickBot="1" x14ac:dyDescent="0.3"/>
    <row r="13" spans="2:24" s="4" customFormat="1" ht="19.5" thickBot="1" x14ac:dyDescent="0.35">
      <c r="B13" s="8" t="s">
        <v>224</v>
      </c>
      <c r="C13" s="9" t="str">
        <f>REPT("★", MIN(B14, 5)) &amp; REPT("☆", 5 - MIN(B14, 5)) &amp; IF(B14 &gt; 5, "+", "")</f>
        <v>★★☆☆☆</v>
      </c>
      <c r="E13"/>
      <c r="F13"/>
      <c r="G13"/>
      <c r="H13"/>
    </row>
    <row r="14" spans="2:24" s="4" customFormat="1" ht="6.95" customHeight="1" thickBot="1" x14ac:dyDescent="0.3">
      <c r="B14" s="10">
        <v>2</v>
      </c>
    </row>
    <row r="15" spans="2:24" s="4" customFormat="1" ht="15" customHeight="1" x14ac:dyDescent="0.25">
      <c r="B15" s="112" t="s">
        <v>220</v>
      </c>
      <c r="C15" s="113"/>
      <c r="D15" s="113"/>
      <c r="E15" s="113"/>
      <c r="F15" s="113"/>
      <c r="G15" s="113"/>
      <c r="H15" s="113"/>
      <c r="I15" s="113"/>
      <c r="J15" s="113"/>
      <c r="K15" s="113"/>
      <c r="L15" s="113"/>
      <c r="M15" s="114"/>
    </row>
    <row r="16" spans="2:24" s="4" customFormat="1" ht="6.95" customHeight="1" x14ac:dyDescent="0.25">
      <c r="B16" s="121"/>
      <c r="C16" s="122"/>
      <c r="D16" s="122"/>
      <c r="E16" s="122"/>
      <c r="F16" s="122"/>
      <c r="G16" s="122"/>
      <c r="H16" s="122"/>
      <c r="I16" s="122"/>
      <c r="J16" s="122"/>
      <c r="K16" s="122"/>
      <c r="L16" s="122"/>
      <c r="M16" s="123"/>
    </row>
    <row r="17" spans="2:24" s="4" customFormat="1" ht="15" customHeight="1" thickBot="1" x14ac:dyDescent="0.3">
      <c r="B17" s="115" t="s">
        <v>221</v>
      </c>
      <c r="C17" s="116"/>
      <c r="D17" s="116"/>
      <c r="E17" s="116"/>
      <c r="F17" s="116"/>
      <c r="G17" s="116"/>
      <c r="H17" s="116"/>
      <c r="I17" s="116"/>
      <c r="J17" s="116"/>
      <c r="K17" s="116"/>
      <c r="L17" s="116"/>
      <c r="M17" s="117"/>
    </row>
    <row r="21" spans="2:24" s="4" customFormat="1" ht="21" x14ac:dyDescent="0.35">
      <c r="B21" s="107" t="s">
        <v>223</v>
      </c>
      <c r="C21" s="107"/>
      <c r="D21" s="107"/>
      <c r="E21" s="107"/>
      <c r="F21" s="107"/>
      <c r="G21" s="107"/>
      <c r="H21" s="107"/>
      <c r="I21" s="107"/>
      <c r="J21" s="107"/>
      <c r="K21" s="107"/>
      <c r="L21" s="107"/>
      <c r="M21" s="107"/>
      <c r="N21" s="107"/>
      <c r="O21" s="107"/>
      <c r="P21" s="107"/>
      <c r="Q21" s="107"/>
      <c r="R21" s="107"/>
      <c r="S21" s="107"/>
      <c r="T21" s="107"/>
      <c r="U21" s="107"/>
      <c r="V21" s="107"/>
      <c r="W21" s="107"/>
      <c r="X21" s="107"/>
    </row>
    <row r="22" spans="2:24" s="4" customFormat="1" ht="3" customHeight="1" x14ac:dyDescent="0.35">
      <c r="B22" s="108"/>
      <c r="C22" s="108"/>
      <c r="D22" s="108"/>
      <c r="E22" s="108"/>
      <c r="F22" s="108"/>
      <c r="G22" s="108"/>
      <c r="H22" s="108"/>
      <c r="I22" s="108"/>
      <c r="J22" s="108"/>
      <c r="K22" s="108"/>
      <c r="L22" s="108"/>
      <c r="M22" s="108"/>
      <c r="N22" s="108"/>
      <c r="O22" s="108"/>
      <c r="P22" s="108"/>
      <c r="Q22" s="108"/>
      <c r="R22" s="108"/>
      <c r="S22" s="108"/>
      <c r="T22" s="108"/>
      <c r="U22" s="108"/>
      <c r="V22" s="108"/>
      <c r="W22" s="108"/>
      <c r="X22" s="108"/>
    </row>
    <row r="23" spans="2:24" ht="15.75" thickBot="1" x14ac:dyDescent="0.3"/>
    <row r="24" spans="2:24" s="4" customFormat="1" ht="19.5" thickBot="1" x14ac:dyDescent="0.35">
      <c r="B24" s="8" t="s">
        <v>225</v>
      </c>
      <c r="C24" s="9" t="str">
        <f>REPT("★", MIN(B25, 5)) &amp; REPT("☆", 5 - MIN(B25, 5)) &amp; IF(B25 &gt; 5, "+", "")</f>
        <v>★★☆☆☆</v>
      </c>
      <c r="E24"/>
      <c r="F24"/>
      <c r="G24"/>
      <c r="H24"/>
    </row>
    <row r="25" spans="2:24" s="4" customFormat="1" ht="6.95" customHeight="1" thickBot="1" x14ac:dyDescent="0.3">
      <c r="B25" s="10">
        <v>2</v>
      </c>
    </row>
    <row r="26" spans="2:24" s="4" customFormat="1" ht="15" customHeight="1" x14ac:dyDescent="0.25">
      <c r="B26" s="112" t="s">
        <v>226</v>
      </c>
      <c r="C26" s="113"/>
      <c r="D26" s="113"/>
      <c r="E26" s="113"/>
      <c r="F26" s="113"/>
      <c r="G26" s="113"/>
      <c r="H26" s="113"/>
      <c r="I26" s="113"/>
      <c r="J26" s="113"/>
      <c r="K26" s="113"/>
      <c r="L26" s="113"/>
      <c r="M26" s="114"/>
    </row>
    <row r="27" spans="2:24" s="4" customFormat="1" ht="6.95" customHeight="1" x14ac:dyDescent="0.25">
      <c r="B27" s="121"/>
      <c r="C27" s="122"/>
      <c r="D27" s="122"/>
      <c r="E27" s="122"/>
      <c r="F27" s="122"/>
      <c r="G27" s="122"/>
      <c r="H27" s="122"/>
      <c r="I27" s="122"/>
      <c r="J27" s="122"/>
      <c r="K27" s="122"/>
      <c r="L27" s="122"/>
      <c r="M27" s="123"/>
    </row>
    <row r="28" spans="2:24" s="4" customFormat="1" ht="15" customHeight="1" thickBot="1" x14ac:dyDescent="0.3">
      <c r="B28" s="115" t="s">
        <v>227</v>
      </c>
      <c r="C28" s="116"/>
      <c r="D28" s="116"/>
      <c r="E28" s="116"/>
      <c r="F28" s="116"/>
      <c r="G28" s="116"/>
      <c r="H28" s="116"/>
      <c r="I28" s="116"/>
      <c r="J28" s="116"/>
      <c r="K28" s="116"/>
      <c r="L28" s="116"/>
      <c r="M28" s="117"/>
    </row>
    <row r="32" spans="2:24" s="4" customFormat="1" ht="21" x14ac:dyDescent="0.35">
      <c r="B32" s="107" t="s">
        <v>228</v>
      </c>
      <c r="C32" s="107"/>
      <c r="D32" s="107"/>
      <c r="E32" s="107"/>
      <c r="F32" s="107"/>
      <c r="G32" s="107"/>
      <c r="H32" s="107"/>
      <c r="I32" s="107"/>
      <c r="J32" s="107"/>
      <c r="K32" s="107"/>
      <c r="L32" s="107"/>
      <c r="M32" s="107"/>
      <c r="N32" s="107"/>
      <c r="O32" s="107"/>
      <c r="P32" s="107"/>
      <c r="Q32" s="107"/>
      <c r="R32" s="107"/>
      <c r="S32" s="107"/>
      <c r="T32" s="107"/>
      <c r="U32" s="107"/>
      <c r="V32" s="107"/>
      <c r="W32" s="107"/>
      <c r="X32" s="107"/>
    </row>
    <row r="33" spans="2:24" s="4" customFormat="1" ht="3" customHeight="1" x14ac:dyDescent="0.35">
      <c r="B33" s="108"/>
      <c r="C33" s="108"/>
      <c r="D33" s="108"/>
      <c r="E33" s="108"/>
      <c r="F33" s="108"/>
      <c r="G33" s="108"/>
      <c r="H33" s="108"/>
      <c r="I33" s="108"/>
      <c r="J33" s="108"/>
      <c r="K33" s="108"/>
      <c r="L33" s="108"/>
      <c r="M33" s="108"/>
      <c r="N33" s="108"/>
      <c r="O33" s="108"/>
      <c r="P33" s="108"/>
      <c r="Q33" s="108"/>
      <c r="R33" s="108"/>
      <c r="S33" s="108"/>
      <c r="T33" s="108"/>
      <c r="U33" s="108"/>
      <c r="V33" s="108"/>
      <c r="W33" s="108"/>
      <c r="X33" s="108"/>
    </row>
    <row r="34" spans="2:24" ht="15.75" thickBot="1" x14ac:dyDescent="0.3"/>
    <row r="35" spans="2:24" s="4" customFormat="1" ht="19.5" thickBot="1" x14ac:dyDescent="0.35">
      <c r="B35" s="8" t="s">
        <v>229</v>
      </c>
      <c r="C35" s="9" t="str">
        <f>REPT("★", MIN(B36, 5)) &amp; REPT("☆", 5 - MIN(B36, 5)) &amp; IF(B36 &gt; 5, "+", "")</f>
        <v>★★☆☆☆</v>
      </c>
      <c r="E35"/>
      <c r="F35"/>
      <c r="G35"/>
      <c r="H35"/>
    </row>
    <row r="36" spans="2:24" s="4" customFormat="1" ht="6.95" customHeight="1" thickBot="1" x14ac:dyDescent="0.3">
      <c r="B36" s="10">
        <v>2</v>
      </c>
    </row>
    <row r="37" spans="2:24" s="4" customFormat="1" ht="30" customHeight="1" x14ac:dyDescent="0.25">
      <c r="B37" s="112" t="s">
        <v>230</v>
      </c>
      <c r="C37" s="113"/>
      <c r="D37" s="113"/>
      <c r="E37" s="113"/>
      <c r="F37" s="113"/>
      <c r="G37" s="113"/>
      <c r="H37" s="113"/>
      <c r="I37" s="113"/>
      <c r="J37" s="113"/>
      <c r="K37" s="113"/>
      <c r="L37" s="113"/>
      <c r="M37" s="114"/>
    </row>
    <row r="38" spans="2:24" s="4" customFormat="1" ht="6.95" customHeight="1" x14ac:dyDescent="0.25">
      <c r="B38" s="121"/>
      <c r="C38" s="122"/>
      <c r="D38" s="122"/>
      <c r="E38" s="122"/>
      <c r="F38" s="122"/>
      <c r="G38" s="122"/>
      <c r="H38" s="122"/>
      <c r="I38" s="122"/>
      <c r="J38" s="122"/>
      <c r="K38" s="122"/>
      <c r="L38" s="122"/>
      <c r="M38" s="123"/>
    </row>
    <row r="39" spans="2:24" s="4" customFormat="1" ht="15" customHeight="1" thickBot="1" x14ac:dyDescent="0.3">
      <c r="B39" s="115" t="s">
        <v>245</v>
      </c>
      <c r="C39" s="116"/>
      <c r="D39" s="116"/>
      <c r="E39" s="116"/>
      <c r="F39" s="116"/>
      <c r="G39" s="116"/>
      <c r="H39" s="116"/>
      <c r="I39" s="116"/>
      <c r="J39" s="116"/>
      <c r="K39" s="116"/>
      <c r="L39" s="116"/>
      <c r="M39" s="117"/>
    </row>
    <row r="40" spans="2:24" ht="6.95" customHeight="1" x14ac:dyDescent="0.25"/>
    <row r="41" spans="2:24" s="4" customFormat="1" ht="15" customHeight="1" x14ac:dyDescent="0.25">
      <c r="B41" s="5" t="s">
        <v>9</v>
      </c>
    </row>
    <row r="45" spans="2:24" s="4" customFormat="1" ht="21" x14ac:dyDescent="0.35">
      <c r="B45" s="107" t="s">
        <v>88</v>
      </c>
      <c r="C45" s="107"/>
      <c r="D45" s="107"/>
      <c r="E45" s="107"/>
      <c r="F45" s="107"/>
      <c r="G45" s="107"/>
      <c r="H45" s="107"/>
      <c r="I45" s="107"/>
      <c r="J45" s="107"/>
      <c r="K45" s="107"/>
      <c r="L45" s="107"/>
      <c r="M45" s="107"/>
      <c r="N45" s="107"/>
      <c r="O45" s="107"/>
      <c r="P45" s="107"/>
      <c r="Q45" s="107"/>
      <c r="R45" s="107"/>
      <c r="S45" s="107"/>
      <c r="T45" s="107"/>
      <c r="U45" s="107"/>
      <c r="V45" s="107"/>
      <c r="W45" s="107"/>
      <c r="X45" s="107"/>
    </row>
    <row r="46" spans="2:24" s="4" customFormat="1" ht="3" customHeight="1" x14ac:dyDescent="0.35">
      <c r="B46" s="108"/>
      <c r="C46" s="108"/>
      <c r="D46" s="108"/>
      <c r="E46" s="108"/>
      <c r="F46" s="108"/>
      <c r="G46" s="108"/>
      <c r="H46" s="108"/>
      <c r="I46" s="108"/>
      <c r="J46" s="108"/>
      <c r="K46" s="108"/>
      <c r="L46" s="108"/>
      <c r="M46" s="108"/>
      <c r="N46" s="108"/>
      <c r="O46" s="108"/>
      <c r="P46" s="108"/>
      <c r="Q46" s="108"/>
      <c r="R46" s="108"/>
      <c r="S46" s="108"/>
      <c r="T46" s="108"/>
      <c r="U46" s="108"/>
      <c r="V46" s="108"/>
      <c r="W46" s="108"/>
      <c r="X46" s="108"/>
    </row>
    <row r="47" spans="2:24" ht="15.75" thickBot="1" x14ac:dyDescent="0.3"/>
    <row r="48" spans="2:24" s="4" customFormat="1" ht="19.5" thickBot="1" x14ac:dyDescent="0.35">
      <c r="B48" s="8" t="s">
        <v>253</v>
      </c>
      <c r="C48" s="9" t="str">
        <f>REPT("★", MIN(B49, 5)) &amp; REPT("☆", 5 - MIN(B49, 5)) &amp; IF(B49 &gt; 5, "+", "")</f>
        <v>★★☆☆☆</v>
      </c>
      <c r="E48"/>
      <c r="F48"/>
      <c r="G48"/>
      <c r="H48"/>
    </row>
    <row r="49" spans="2:13" s="4" customFormat="1" ht="6.95" customHeight="1" thickBot="1" x14ac:dyDescent="0.3">
      <c r="B49" s="10">
        <v>2</v>
      </c>
    </row>
    <row r="50" spans="2:13" s="4" customFormat="1" ht="15" customHeight="1" x14ac:dyDescent="0.25">
      <c r="B50" s="112" t="s">
        <v>246</v>
      </c>
      <c r="C50" s="113"/>
      <c r="D50" s="113"/>
      <c r="E50" s="113"/>
      <c r="F50" s="113"/>
      <c r="G50" s="113"/>
      <c r="H50" s="113"/>
      <c r="I50" s="113"/>
      <c r="J50" s="113"/>
      <c r="K50" s="113"/>
      <c r="L50" s="113"/>
      <c r="M50" s="114"/>
    </row>
    <row r="51" spans="2:13" s="4" customFormat="1" ht="15" customHeight="1" x14ac:dyDescent="0.25">
      <c r="B51" s="139" t="s">
        <v>248</v>
      </c>
      <c r="C51" s="140"/>
      <c r="D51" s="140"/>
      <c r="E51" s="122" t="s">
        <v>247</v>
      </c>
      <c r="F51" s="122"/>
      <c r="G51" s="122"/>
      <c r="H51" s="122"/>
      <c r="I51" s="122"/>
      <c r="J51" s="122"/>
      <c r="K51" s="122"/>
      <c r="L51" s="122"/>
      <c r="M51" s="123"/>
    </row>
    <row r="52" spans="2:13" s="4" customFormat="1" ht="15" customHeight="1" x14ac:dyDescent="0.25">
      <c r="B52" s="139" t="s">
        <v>249</v>
      </c>
      <c r="C52" s="140"/>
      <c r="D52" s="140"/>
      <c r="E52" s="122" t="s">
        <v>250</v>
      </c>
      <c r="F52" s="122"/>
      <c r="G52" s="122"/>
      <c r="H52" s="122"/>
      <c r="I52" s="122"/>
      <c r="J52" s="122"/>
      <c r="K52" s="122"/>
      <c r="L52" s="122"/>
      <c r="M52" s="123"/>
    </row>
    <row r="53" spans="2:13" s="4" customFormat="1" ht="15" customHeight="1" thickBot="1" x14ac:dyDescent="0.3">
      <c r="B53" s="153" t="s">
        <v>251</v>
      </c>
      <c r="C53" s="154"/>
      <c r="D53" s="154"/>
      <c r="E53" s="116" t="s">
        <v>252</v>
      </c>
      <c r="F53" s="116"/>
      <c r="G53" s="116"/>
      <c r="H53" s="116"/>
      <c r="I53" s="116"/>
      <c r="J53" s="116"/>
      <c r="K53" s="116"/>
      <c r="L53" s="116"/>
      <c r="M53" s="117"/>
    </row>
    <row r="59" spans="2:13" ht="23.25" x14ac:dyDescent="0.35">
      <c r="B59" s="111" t="s">
        <v>273</v>
      </c>
      <c r="C59" s="111"/>
      <c r="D59" s="111"/>
      <c r="F59" s="111" t="s">
        <v>274</v>
      </c>
      <c r="G59" s="111"/>
      <c r="H59" s="111"/>
    </row>
  </sheetData>
  <mergeCells count="26">
    <mergeCell ref="B10:X10"/>
    <mergeCell ref="B11:X11"/>
    <mergeCell ref="B21:X21"/>
    <mergeCell ref="B45:X45"/>
    <mergeCell ref="B46:X46"/>
    <mergeCell ref="B38:M38"/>
    <mergeCell ref="B15:M15"/>
    <mergeCell ref="B16:M16"/>
    <mergeCell ref="B17:M17"/>
    <mergeCell ref="B32:X32"/>
    <mergeCell ref="B33:X33"/>
    <mergeCell ref="B22:X22"/>
    <mergeCell ref="B26:M26"/>
    <mergeCell ref="B27:M27"/>
    <mergeCell ref="B28:M28"/>
    <mergeCell ref="B37:M37"/>
    <mergeCell ref="B50:M50"/>
    <mergeCell ref="B39:M39"/>
    <mergeCell ref="B52:D52"/>
    <mergeCell ref="E51:M51"/>
    <mergeCell ref="E52:M52"/>
    <mergeCell ref="E53:M53"/>
    <mergeCell ref="B53:D53"/>
    <mergeCell ref="B51:D51"/>
    <mergeCell ref="B59:D59"/>
    <mergeCell ref="F59:H59"/>
  </mergeCells>
  <hyperlinks>
    <hyperlink ref="B59:D59" location="'Part 7'!A1" display="◀  Part 7" xr:uid="{431E146E-9A5E-4271-98C4-7507F8C84D0B}"/>
    <hyperlink ref="F59:H59" location="'Part 9'!A1" display="Part 9  ▶" xr:uid="{9B896255-55C3-44CB-B099-8C8FEE4CDE37}"/>
  </hyperlink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8372-2CE5-4FBC-A305-A919EC9A4955}">
  <sheetPr codeName="Sheet11"/>
  <dimension ref="B6:X53"/>
  <sheetViews>
    <sheetView showGridLines="0" topLeftCell="A52" zoomScaleNormal="100" workbookViewId="0">
      <selection activeCell="E3" sqref="E3"/>
    </sheetView>
  </sheetViews>
  <sheetFormatPr defaultColWidth="9.140625" defaultRowHeight="15" x14ac:dyDescent="0.25"/>
  <cols>
    <col min="2" max="3" width="9.140625" customWidth="1"/>
  </cols>
  <sheetData>
    <row r="6" spans="2:24" s="4" customFormat="1" x14ac:dyDescent="0.25"/>
    <row r="7" spans="2:24" s="4" customFormat="1" x14ac:dyDescent="0.25"/>
    <row r="8" spans="2:24" s="4" customFormat="1" ht="36" x14ac:dyDescent="0.55000000000000004">
      <c r="B8" s="7" t="s">
        <v>232</v>
      </c>
    </row>
    <row r="9" spans="2:24" s="4" customFormat="1" x14ac:dyDescent="0.25"/>
    <row r="10" spans="2:24" s="4" customFormat="1" ht="21" x14ac:dyDescent="0.35">
      <c r="B10" s="107" t="s">
        <v>309</v>
      </c>
      <c r="C10" s="107"/>
      <c r="D10" s="107"/>
      <c r="E10" s="107"/>
      <c r="F10" s="107"/>
      <c r="G10" s="107"/>
      <c r="H10" s="107"/>
      <c r="I10" s="107"/>
      <c r="J10" s="107"/>
      <c r="K10" s="107"/>
      <c r="L10" s="107"/>
      <c r="M10" s="107"/>
      <c r="N10" s="107"/>
      <c r="O10" s="107"/>
      <c r="P10" s="107"/>
      <c r="Q10" s="107"/>
      <c r="R10" s="107"/>
      <c r="S10" s="107"/>
      <c r="T10" s="107"/>
      <c r="U10" s="107"/>
      <c r="V10" s="107"/>
      <c r="W10" s="107"/>
      <c r="X10" s="107"/>
    </row>
    <row r="11" spans="2:24" s="4" customFormat="1" ht="3" customHeight="1" x14ac:dyDescent="0.35">
      <c r="B11" s="108"/>
      <c r="C11" s="108"/>
      <c r="D11" s="108"/>
      <c r="E11" s="108"/>
      <c r="F11" s="108"/>
      <c r="G11" s="108"/>
      <c r="H11" s="108"/>
      <c r="I11" s="108"/>
      <c r="J11" s="108"/>
      <c r="K11" s="108"/>
      <c r="L11" s="108"/>
      <c r="M11" s="108"/>
      <c r="N11" s="108"/>
      <c r="O11" s="108"/>
      <c r="P11" s="108"/>
      <c r="Q11" s="108"/>
      <c r="R11" s="108"/>
      <c r="S11" s="108"/>
      <c r="T11" s="108"/>
      <c r="U11" s="108"/>
      <c r="V11" s="108"/>
      <c r="W11" s="108"/>
      <c r="X11" s="108"/>
    </row>
    <row r="12" spans="2:24" ht="15.75" thickBot="1" x14ac:dyDescent="0.3"/>
    <row r="13" spans="2:24" s="4" customFormat="1" ht="19.5" thickBot="1" x14ac:dyDescent="0.35">
      <c r="B13" s="8" t="s">
        <v>233</v>
      </c>
      <c r="C13" s="9" t="str">
        <f>REPT("★", MIN(B14, 5)) &amp; REPT("☆", 5 - MIN(B14, 5)) &amp; IF(B14 &gt; 5, "+", "")</f>
        <v>★★★★☆</v>
      </c>
      <c r="E13"/>
      <c r="F13"/>
      <c r="G13"/>
      <c r="H13"/>
    </row>
    <row r="14" spans="2:24" s="4" customFormat="1" ht="6.95" customHeight="1" thickBot="1" x14ac:dyDescent="0.3">
      <c r="B14" s="10">
        <v>4</v>
      </c>
    </row>
    <row r="15" spans="2:24" s="4" customFormat="1" ht="30" customHeight="1" thickBot="1" x14ac:dyDescent="0.3">
      <c r="B15" s="124" t="s">
        <v>234</v>
      </c>
      <c r="C15" s="125"/>
      <c r="D15" s="125"/>
      <c r="E15" s="125"/>
      <c r="F15" s="125"/>
      <c r="G15" s="125"/>
      <c r="H15" s="125"/>
      <c r="I15" s="125"/>
      <c r="J15" s="125"/>
      <c r="K15" s="125"/>
      <c r="L15" s="125"/>
      <c r="M15" s="126"/>
    </row>
    <row r="16" spans="2:24" ht="6.95" customHeight="1" x14ac:dyDescent="0.25"/>
    <row r="17" spans="2:24" s="4" customFormat="1" ht="15" customHeight="1" x14ac:dyDescent="0.25">
      <c r="B17" s="5" t="s">
        <v>9</v>
      </c>
      <c r="E17"/>
      <c r="F17"/>
      <c r="G17"/>
      <c r="H17"/>
      <c r="I17"/>
      <c r="J17"/>
      <c r="K17"/>
      <c r="L17"/>
    </row>
    <row r="18" spans="2:24" ht="6.95" customHeight="1" x14ac:dyDescent="0.25"/>
    <row r="19" spans="2:24" s="4" customFormat="1" ht="15.75" customHeight="1" x14ac:dyDescent="0.25">
      <c r="B19" s="49" t="s">
        <v>235</v>
      </c>
    </row>
    <row r="20" spans="2:24" s="4" customFormat="1" ht="15" customHeight="1" thickBot="1" x14ac:dyDescent="0.3">
      <c r="B20" s="12" t="s">
        <v>239</v>
      </c>
      <c r="F20" s="12" t="s">
        <v>238</v>
      </c>
    </row>
    <row r="21" spans="2:24" s="4" customFormat="1" ht="15.75" customHeight="1" thickTop="1" thickBot="1" x14ac:dyDescent="0.3">
      <c r="B21" s="127"/>
      <c r="C21" s="128"/>
      <c r="D21" s="129"/>
      <c r="E21"/>
      <c r="F21" s="127"/>
      <c r="G21" s="128"/>
      <c r="H21" s="129"/>
    </row>
    <row r="22" spans="2:24" s="4" customFormat="1" ht="6.95" customHeight="1" thickTop="1" x14ac:dyDescent="0.25"/>
    <row r="23" spans="2:24" s="4" customFormat="1" ht="15.75" customHeight="1" x14ac:dyDescent="0.25">
      <c r="B23" s="49" t="s">
        <v>236</v>
      </c>
    </row>
    <row r="24" spans="2:24" s="4" customFormat="1" ht="15" customHeight="1" thickBot="1" x14ac:dyDescent="0.3">
      <c r="B24" s="12" t="s">
        <v>239</v>
      </c>
      <c r="F24" s="12" t="s">
        <v>238</v>
      </c>
    </row>
    <row r="25" spans="2:24" s="4" customFormat="1" ht="15.75" customHeight="1" thickTop="1" thickBot="1" x14ac:dyDescent="0.3">
      <c r="B25" s="127"/>
      <c r="C25" s="128"/>
      <c r="D25" s="129"/>
      <c r="E25"/>
      <c r="F25" s="127"/>
      <c r="G25" s="128"/>
      <c r="H25" s="129"/>
    </row>
    <row r="26" spans="2:24" ht="15.75" thickTop="1" x14ac:dyDescent="0.25"/>
    <row r="29" spans="2:24" s="4" customFormat="1" ht="21" x14ac:dyDescent="0.35">
      <c r="B29" s="107" t="s">
        <v>311</v>
      </c>
      <c r="C29" s="107"/>
      <c r="D29" s="107"/>
      <c r="E29" s="107"/>
      <c r="F29" s="107"/>
      <c r="G29" s="107"/>
      <c r="H29" s="107"/>
      <c r="I29" s="107"/>
      <c r="J29" s="107"/>
      <c r="K29" s="107"/>
      <c r="L29" s="107"/>
      <c r="M29" s="107"/>
      <c r="N29" s="107"/>
      <c r="O29" s="107"/>
      <c r="P29" s="107"/>
      <c r="Q29" s="107"/>
      <c r="R29" s="107"/>
      <c r="S29" s="107"/>
      <c r="T29" s="107"/>
      <c r="U29" s="107"/>
      <c r="V29" s="107"/>
      <c r="W29" s="107"/>
      <c r="X29" s="107"/>
    </row>
    <row r="30" spans="2:24" s="4" customFormat="1" ht="3" customHeight="1" x14ac:dyDescent="0.35">
      <c r="B30" s="108"/>
      <c r="C30" s="108"/>
      <c r="D30" s="108"/>
      <c r="E30" s="108"/>
      <c r="F30" s="108"/>
      <c r="G30" s="108"/>
      <c r="H30" s="108"/>
      <c r="I30" s="108"/>
      <c r="J30" s="108"/>
      <c r="K30" s="108"/>
      <c r="L30" s="108"/>
      <c r="M30" s="108"/>
      <c r="N30" s="108"/>
      <c r="O30" s="108"/>
      <c r="P30" s="108"/>
      <c r="Q30" s="108"/>
      <c r="R30" s="108"/>
      <c r="S30" s="108"/>
      <c r="T30" s="108"/>
      <c r="U30" s="108"/>
      <c r="V30" s="108"/>
      <c r="W30" s="108"/>
      <c r="X30" s="108"/>
    </row>
    <row r="31" spans="2:24" ht="15.75" thickBot="1" x14ac:dyDescent="0.3"/>
    <row r="32" spans="2:24" s="4" customFormat="1" ht="19.5" thickBot="1" x14ac:dyDescent="0.35">
      <c r="B32" s="8" t="s">
        <v>240</v>
      </c>
      <c r="C32" s="9" t="str">
        <f>REPT("★", MIN(B33, 5)) &amp; REPT("☆", 5 - MIN(B33, 5)) &amp; IF(B33 &gt; 5, "+", "")</f>
        <v>★★★★★</v>
      </c>
      <c r="E32"/>
      <c r="F32"/>
      <c r="G32"/>
      <c r="H32"/>
    </row>
    <row r="33" spans="2:13" s="4" customFormat="1" ht="6.95" customHeight="1" thickBot="1" x14ac:dyDescent="0.3">
      <c r="B33" s="10">
        <v>5</v>
      </c>
    </row>
    <row r="34" spans="2:13" s="4" customFormat="1" ht="30" customHeight="1" x14ac:dyDescent="0.25">
      <c r="B34" s="112" t="s">
        <v>242</v>
      </c>
      <c r="C34" s="113"/>
      <c r="D34" s="113"/>
      <c r="E34" s="113"/>
      <c r="F34" s="113"/>
      <c r="G34" s="113"/>
      <c r="H34" s="113"/>
      <c r="I34" s="113"/>
      <c r="J34" s="113"/>
      <c r="K34" s="113"/>
      <c r="L34" s="113"/>
      <c r="M34" s="114"/>
    </row>
    <row r="35" spans="2:13" s="4" customFormat="1" ht="6.95" customHeight="1" x14ac:dyDescent="0.25">
      <c r="B35" s="121"/>
      <c r="C35" s="122"/>
      <c r="D35" s="122"/>
      <c r="E35" s="122"/>
      <c r="F35" s="122"/>
      <c r="G35" s="122"/>
      <c r="H35" s="122"/>
      <c r="I35" s="122"/>
      <c r="J35" s="122"/>
      <c r="K35" s="122"/>
      <c r="L35" s="122"/>
      <c r="M35" s="123"/>
    </row>
    <row r="36" spans="2:13" s="4" customFormat="1" ht="30" customHeight="1" thickBot="1" x14ac:dyDescent="0.3">
      <c r="B36" s="115" t="s">
        <v>241</v>
      </c>
      <c r="C36" s="116"/>
      <c r="D36" s="116"/>
      <c r="E36" s="116"/>
      <c r="F36" s="116"/>
      <c r="G36" s="116"/>
      <c r="H36" s="116"/>
      <c r="I36" s="116"/>
      <c r="J36" s="116"/>
      <c r="K36" s="116"/>
      <c r="L36" s="116"/>
      <c r="M36" s="117"/>
    </row>
    <row r="37" spans="2:13" ht="6.95" customHeight="1" x14ac:dyDescent="0.25"/>
    <row r="38" spans="2:13" s="4" customFormat="1" ht="15" customHeight="1" x14ac:dyDescent="0.25">
      <c r="B38" s="5" t="s">
        <v>9</v>
      </c>
      <c r="E38"/>
      <c r="F38"/>
      <c r="G38"/>
      <c r="H38"/>
      <c r="I38"/>
      <c r="J38"/>
      <c r="K38"/>
      <c r="L38"/>
    </row>
    <row r="39" spans="2:13" s="4" customFormat="1" ht="6.95" customHeight="1" x14ac:dyDescent="0.25">
      <c r="B39" s="49"/>
      <c r="E39"/>
      <c r="F39"/>
      <c r="G39"/>
      <c r="H39"/>
      <c r="I39"/>
      <c r="J39"/>
      <c r="K39"/>
      <c r="L39"/>
    </row>
    <row r="40" spans="2:13" s="4" customFormat="1" ht="15" customHeight="1" thickBot="1" x14ac:dyDescent="0.3">
      <c r="B40" s="12" t="s">
        <v>237</v>
      </c>
      <c r="E40"/>
      <c r="F40"/>
      <c r="G40"/>
      <c r="H40"/>
      <c r="I40"/>
      <c r="J40"/>
      <c r="K40"/>
      <c r="L40"/>
    </row>
    <row r="41" spans="2:13" s="4" customFormat="1" ht="15.75" customHeight="1" thickTop="1" thickBot="1" x14ac:dyDescent="0.3">
      <c r="B41" s="127"/>
      <c r="C41" s="128"/>
      <c r="D41" s="129"/>
      <c r="E41"/>
      <c r="F41"/>
      <c r="G41"/>
      <c r="H41"/>
      <c r="I41"/>
      <c r="J41"/>
      <c r="K41"/>
      <c r="L41"/>
    </row>
    <row r="42" spans="2:13" s="4" customFormat="1" ht="6.95" customHeight="1" thickTop="1" x14ac:dyDescent="0.25">
      <c r="E42"/>
      <c r="F42"/>
      <c r="G42"/>
      <c r="H42"/>
      <c r="I42"/>
      <c r="J42"/>
      <c r="K42"/>
      <c r="L42"/>
    </row>
    <row r="43" spans="2:13" ht="15.75" thickBot="1" x14ac:dyDescent="0.3">
      <c r="B43" s="12" t="s">
        <v>243</v>
      </c>
      <c r="C43" s="4"/>
      <c r="D43" s="4"/>
    </row>
    <row r="44" spans="2:13" ht="17.25" thickTop="1" thickBot="1" x14ac:dyDescent="0.3">
      <c r="B44" s="150"/>
      <c r="C44" s="151"/>
      <c r="D44" s="152"/>
    </row>
    <row r="45" spans="2:13" ht="6.95" customHeight="1" thickTop="1" x14ac:dyDescent="0.25"/>
    <row r="46" spans="2:13" ht="15.75" thickBot="1" x14ac:dyDescent="0.3">
      <c r="B46" s="12" t="s">
        <v>244</v>
      </c>
      <c r="C46" s="4"/>
      <c r="D46" s="4"/>
    </row>
    <row r="47" spans="2:13" ht="17.25" thickTop="1" thickBot="1" x14ac:dyDescent="0.3">
      <c r="B47" s="150"/>
      <c r="C47" s="151"/>
      <c r="D47" s="152"/>
    </row>
    <row r="48" spans="2:13" ht="15" customHeight="1" thickTop="1" x14ac:dyDescent="0.25"/>
    <row r="49" spans="2:8" ht="15" customHeight="1" x14ac:dyDescent="0.25"/>
    <row r="53" spans="2:8" ht="23.25" x14ac:dyDescent="0.35">
      <c r="B53" s="111" t="s">
        <v>275</v>
      </c>
      <c r="C53" s="111"/>
      <c r="D53" s="111"/>
      <c r="F53" s="111" t="s">
        <v>276</v>
      </c>
      <c r="G53" s="111"/>
      <c r="H53" s="111"/>
    </row>
  </sheetData>
  <mergeCells count="17">
    <mergeCell ref="B10:X10"/>
    <mergeCell ref="B11:X11"/>
    <mergeCell ref="B15:M15"/>
    <mergeCell ref="B29:X29"/>
    <mergeCell ref="B30:X30"/>
    <mergeCell ref="B21:D21"/>
    <mergeCell ref="F21:H21"/>
    <mergeCell ref="B25:D25"/>
    <mergeCell ref="F25:H25"/>
    <mergeCell ref="B47:D47"/>
    <mergeCell ref="B53:D53"/>
    <mergeCell ref="F53:H53"/>
    <mergeCell ref="B41:D41"/>
    <mergeCell ref="B34:M34"/>
    <mergeCell ref="B35:M35"/>
    <mergeCell ref="B36:M36"/>
    <mergeCell ref="B44:D44"/>
  </mergeCells>
  <hyperlinks>
    <hyperlink ref="B53:D53" location="'Part 8'!A1" display="◀  Part 8" xr:uid="{CE35C516-7541-4552-AA62-7A09C9FB81BD}"/>
    <hyperlink ref="F53:H53" location="'Challenge 1'!A1" display="Challenge 1  ▶" xr:uid="{ADFA2486-3CE5-4B58-9200-1910B7101271}"/>
  </hyperlink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0995D-4596-46A7-9119-19523047764E}">
  <sheetPr codeName="shtChallenge">
    <tabColor rgb="FFFFD1D1"/>
  </sheetPr>
  <dimension ref="B8:X31"/>
  <sheetViews>
    <sheetView showGridLines="0" topLeftCell="A8" zoomScaleNormal="100" workbookViewId="0"/>
  </sheetViews>
  <sheetFormatPr defaultColWidth="9.140625" defaultRowHeight="15" x14ac:dyDescent="0.25"/>
  <cols>
    <col min="1" max="1" width="9.140625" style="4"/>
    <col min="2" max="2" width="10.5703125" style="4" customWidth="1"/>
    <col min="3" max="13" width="9.140625" style="4" customWidth="1"/>
    <col min="14" max="14" width="9.140625" style="4"/>
    <col min="15" max="22" width="9.140625" style="4" customWidth="1"/>
    <col min="23" max="16384" width="9.140625" style="4"/>
  </cols>
  <sheetData>
    <row r="8" spans="2:24" ht="36" x14ac:dyDescent="0.55000000000000004">
      <c r="B8" s="7" t="s">
        <v>308</v>
      </c>
    </row>
    <row r="10" spans="2:24" ht="21" x14ac:dyDescent="0.35">
      <c r="B10" s="155" t="s">
        <v>312</v>
      </c>
      <c r="C10" s="155"/>
      <c r="D10" s="155"/>
      <c r="E10" s="155"/>
      <c r="F10" s="155"/>
      <c r="G10" s="155"/>
      <c r="H10" s="155"/>
      <c r="I10" s="155"/>
      <c r="J10" s="155"/>
      <c r="K10" s="155"/>
      <c r="L10" s="155"/>
      <c r="M10" s="155"/>
      <c r="N10" s="155"/>
      <c r="O10" s="155"/>
      <c r="P10" s="155"/>
      <c r="Q10" s="155"/>
      <c r="R10" s="155"/>
      <c r="S10" s="155"/>
      <c r="T10" s="155"/>
      <c r="U10" s="155"/>
      <c r="V10" s="155"/>
      <c r="W10" s="155"/>
      <c r="X10" s="155"/>
    </row>
    <row r="11" spans="2:24" ht="3" customHeight="1" x14ac:dyDescent="0.35">
      <c r="B11" s="156"/>
      <c r="C11" s="156"/>
      <c r="D11" s="156"/>
      <c r="E11" s="156"/>
      <c r="F11" s="156"/>
      <c r="G11" s="156"/>
      <c r="H11" s="156"/>
      <c r="I11" s="156"/>
      <c r="J11" s="156"/>
      <c r="K11" s="156"/>
      <c r="L11" s="156"/>
      <c r="M11" s="156"/>
      <c r="N11" s="156"/>
      <c r="O11" s="156"/>
      <c r="P11" s="156"/>
      <c r="Q11" s="156"/>
      <c r="R11" s="156"/>
      <c r="S11" s="156"/>
      <c r="T11" s="156"/>
      <c r="U11" s="156"/>
      <c r="V11" s="156"/>
      <c r="W11" s="156"/>
      <c r="X11" s="156"/>
    </row>
    <row r="12" spans="2:24" ht="15.75" thickBot="1" x14ac:dyDescent="0.3"/>
    <row r="13" spans="2:24" ht="19.5" thickBot="1" x14ac:dyDescent="0.35">
      <c r="B13" s="6" t="s">
        <v>302</v>
      </c>
      <c r="C13" s="3" t="str">
        <f>REPT("★", MIN(B14, 5)) &amp; REPT("☆", 5 - MIN(B14, 5)) &amp; IF(B14 &gt; 5, "+", "")</f>
        <v>★★★★★</v>
      </c>
      <c r="H13" s="11"/>
    </row>
    <row r="14" spans="2:24" ht="6.95" customHeight="1" thickBot="1" x14ac:dyDescent="0.3">
      <c r="B14" s="10">
        <v>5</v>
      </c>
    </row>
    <row r="15" spans="2:24" ht="30" customHeight="1" x14ac:dyDescent="0.25">
      <c r="B15" s="157" t="s">
        <v>318</v>
      </c>
      <c r="C15" s="158"/>
      <c r="D15" s="158"/>
      <c r="E15" s="158"/>
      <c r="F15" s="158"/>
      <c r="G15" s="158"/>
      <c r="H15" s="158"/>
      <c r="I15" s="158"/>
      <c r="J15" s="158"/>
      <c r="K15" s="158"/>
      <c r="L15" s="158"/>
      <c r="M15" s="159"/>
    </row>
    <row r="16" spans="2:24" ht="6.95" customHeight="1" x14ac:dyDescent="0.25">
      <c r="B16" s="160"/>
      <c r="C16" s="161"/>
      <c r="D16" s="161"/>
      <c r="E16" s="161"/>
      <c r="F16" s="161"/>
      <c r="G16" s="161"/>
      <c r="H16" s="161"/>
      <c r="I16" s="161"/>
      <c r="J16" s="161"/>
      <c r="K16" s="161"/>
      <c r="L16" s="161"/>
      <c r="M16" s="162"/>
    </row>
    <row r="17" spans="2:13" ht="15" customHeight="1" x14ac:dyDescent="0.25">
      <c r="B17" s="160" t="s">
        <v>303</v>
      </c>
      <c r="C17" s="161"/>
      <c r="D17" s="161"/>
      <c r="E17" s="161"/>
      <c r="F17" s="161"/>
      <c r="G17" s="161"/>
      <c r="H17" s="161"/>
      <c r="I17" s="161"/>
      <c r="J17" s="161"/>
      <c r="K17" s="161"/>
      <c r="L17" s="161"/>
      <c r="M17" s="162"/>
    </row>
    <row r="18" spans="2:13" ht="6.95" customHeight="1" x14ac:dyDescent="0.25">
      <c r="B18" s="160"/>
      <c r="C18" s="161"/>
      <c r="D18" s="161"/>
      <c r="E18" s="161"/>
      <c r="F18" s="161"/>
      <c r="G18" s="161"/>
      <c r="H18" s="161"/>
      <c r="I18" s="161"/>
      <c r="J18" s="161"/>
      <c r="K18" s="161"/>
      <c r="L18" s="161"/>
      <c r="M18" s="162"/>
    </row>
    <row r="19" spans="2:13" ht="45" customHeight="1" thickBot="1" x14ac:dyDescent="0.3">
      <c r="B19" s="163" t="s">
        <v>322</v>
      </c>
      <c r="C19" s="164"/>
      <c r="D19" s="164"/>
      <c r="E19" s="164"/>
      <c r="F19" s="164"/>
      <c r="G19" s="164"/>
      <c r="H19" s="164"/>
      <c r="I19" s="164"/>
      <c r="J19" s="164"/>
      <c r="K19" s="164"/>
      <c r="L19" s="164"/>
      <c r="M19" s="165"/>
    </row>
    <row r="20" spans="2:13" ht="6.95" customHeight="1" x14ac:dyDescent="0.25"/>
    <row r="21" spans="2:13" ht="15" customHeight="1" thickBot="1" x14ac:dyDescent="0.3">
      <c r="B21" s="87" t="s">
        <v>319</v>
      </c>
    </row>
    <row r="22" spans="2:13" ht="15.75" customHeight="1" thickTop="1" thickBot="1" x14ac:dyDescent="0.3">
      <c r="B22" s="127"/>
      <c r="C22" s="128"/>
      <c r="D22" s="129"/>
      <c r="E22"/>
      <c r="G22" s="13"/>
    </row>
    <row r="23" spans="2:13" ht="6.95" customHeight="1" thickTop="1" x14ac:dyDescent="0.25"/>
    <row r="24" spans="2:13" ht="15" customHeight="1" thickBot="1" x14ac:dyDescent="0.3">
      <c r="B24" s="12" t="s">
        <v>320</v>
      </c>
    </row>
    <row r="25" spans="2:13" ht="15.75" customHeight="1" thickTop="1" thickBot="1" x14ac:dyDescent="0.3">
      <c r="B25" s="127"/>
      <c r="C25" s="128"/>
      <c r="D25" s="129"/>
      <c r="E25"/>
      <c r="G25" s="13"/>
    </row>
    <row r="26" spans="2:13" ht="6.95" customHeight="1" thickTop="1" x14ac:dyDescent="0.25"/>
    <row r="27" spans="2:13" ht="30" customHeight="1" x14ac:dyDescent="0.25">
      <c r="B27" s="169" t="s">
        <v>321</v>
      </c>
      <c r="C27" s="169"/>
      <c r="D27" s="169"/>
      <c r="E27" s="169"/>
      <c r="F27" s="169"/>
      <c r="G27" s="169"/>
      <c r="H27" s="169"/>
      <c r="I27" s="169"/>
      <c r="J27" s="169"/>
      <c r="K27" s="169"/>
      <c r="L27" s="169"/>
      <c r="M27" s="169"/>
    </row>
    <row r="28" spans="2:13" customFormat="1" ht="6.95" customHeight="1" x14ac:dyDescent="0.25"/>
    <row r="29" spans="2:13" customFormat="1" ht="15" customHeight="1" thickBot="1" x14ac:dyDescent="0.3">
      <c r="B29" s="1" t="s">
        <v>170</v>
      </c>
      <c r="F29" s="1" t="s">
        <v>307</v>
      </c>
    </row>
    <row r="30" spans="2:13" ht="15.75" customHeight="1" thickTop="1" thickBot="1" x14ac:dyDescent="0.3">
      <c r="B30" s="127"/>
      <c r="C30" s="128"/>
      <c r="D30" s="129"/>
      <c r="E30"/>
      <c r="F30" s="166"/>
      <c r="G30" s="167"/>
      <c r="H30" s="168"/>
    </row>
    <row r="31" spans="2:13" ht="15.75" thickTop="1" x14ac:dyDescent="0.25"/>
  </sheetData>
  <sheetProtection formatCells="0" formatColumns="0" formatRows="0" insertColumns="0" insertRows="0"/>
  <mergeCells count="12">
    <mergeCell ref="B25:D25"/>
    <mergeCell ref="B30:D30"/>
    <mergeCell ref="F30:H30"/>
    <mergeCell ref="B27:M27"/>
    <mergeCell ref="B18:M18"/>
    <mergeCell ref="B22:D22"/>
    <mergeCell ref="B10:X10"/>
    <mergeCell ref="B11:X11"/>
    <mergeCell ref="B15:M15"/>
    <mergeCell ref="B16:M16"/>
    <mergeCell ref="B19:M19"/>
    <mergeCell ref="B17:M17"/>
  </mergeCells>
  <hyperlinks>
    <hyperlink ref="F13:H13" location="titleTables" display="Go to tables" xr:uid="{234C34D0-F715-4A7E-A425-4B4CCBB36DB4}"/>
  </hyperlink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CBA88-8EB1-453B-ADBE-B9AE763FCA8E}">
  <sheetPr codeName="shtHelp">
    <tabColor theme="4" tint="0.79998168889431442"/>
  </sheetPr>
  <dimension ref="B8:X41"/>
  <sheetViews>
    <sheetView showGridLines="0" zoomScaleNormal="100" workbookViewId="0"/>
  </sheetViews>
  <sheetFormatPr defaultColWidth="9.140625" defaultRowHeight="15" x14ac:dyDescent="0.25"/>
  <cols>
    <col min="1" max="16384" width="9.140625" style="4"/>
  </cols>
  <sheetData>
    <row r="8" spans="2:24" ht="36" x14ac:dyDescent="0.55000000000000004">
      <c r="B8" s="7" t="s">
        <v>21</v>
      </c>
    </row>
    <row r="10" spans="2:24" ht="21" x14ac:dyDescent="0.35">
      <c r="B10" s="107" t="s">
        <v>282</v>
      </c>
      <c r="C10" s="107"/>
      <c r="D10" s="107"/>
      <c r="E10" s="107"/>
      <c r="F10" s="107"/>
      <c r="G10" s="107"/>
      <c r="H10" s="107"/>
      <c r="I10" s="107"/>
      <c r="J10" s="107"/>
      <c r="K10" s="107"/>
      <c r="L10" s="107"/>
      <c r="M10" s="107"/>
      <c r="N10" s="107"/>
      <c r="O10" s="107"/>
      <c r="P10" s="107"/>
      <c r="Q10" s="107"/>
      <c r="R10" s="107"/>
      <c r="S10" s="107"/>
      <c r="T10" s="107"/>
      <c r="U10" s="107"/>
      <c r="V10" s="107"/>
      <c r="W10" s="107"/>
      <c r="X10" s="107"/>
    </row>
    <row r="11" spans="2:24" ht="3" customHeight="1" x14ac:dyDescent="0.35">
      <c r="B11" s="108"/>
      <c r="C11" s="108"/>
      <c r="D11" s="108"/>
      <c r="E11" s="108"/>
      <c r="F11" s="108"/>
      <c r="G11" s="108"/>
      <c r="H11" s="108"/>
      <c r="I11" s="108"/>
      <c r="J11" s="108"/>
      <c r="K11" s="108"/>
      <c r="L11" s="108"/>
      <c r="M11" s="108"/>
      <c r="N11" s="108"/>
      <c r="O11" s="108"/>
      <c r="P11" s="108"/>
      <c r="Q11" s="108"/>
      <c r="R11" s="108"/>
      <c r="S11" s="108"/>
      <c r="T11" s="108"/>
      <c r="U11" s="108"/>
      <c r="V11" s="108"/>
      <c r="W11" s="108"/>
      <c r="X11" s="108"/>
    </row>
    <row r="12" spans="2:24" ht="6.95" customHeight="1" x14ac:dyDescent="0.25"/>
    <row r="13" spans="2:24" x14ac:dyDescent="0.25">
      <c r="B13" s="50" t="s">
        <v>284</v>
      </c>
    </row>
    <row r="14" spans="2:24" ht="6.95" customHeight="1" x14ac:dyDescent="0.25"/>
    <row r="15" spans="2:24" x14ac:dyDescent="0.25">
      <c r="B15" s="4" t="s">
        <v>283</v>
      </c>
    </row>
    <row r="16" spans="2:24" x14ac:dyDescent="0.25">
      <c r="B16" s="2" t="s">
        <v>285</v>
      </c>
    </row>
    <row r="17" spans="2:24" x14ac:dyDescent="0.25">
      <c r="B17" s="2" t="s">
        <v>286</v>
      </c>
    </row>
    <row r="21" spans="2:24" ht="21" x14ac:dyDescent="0.35">
      <c r="B21" s="107" t="s">
        <v>287</v>
      </c>
      <c r="C21" s="107"/>
      <c r="D21" s="107"/>
      <c r="E21" s="107"/>
      <c r="F21" s="107"/>
      <c r="G21" s="107"/>
      <c r="H21" s="107"/>
      <c r="I21" s="107"/>
      <c r="J21" s="107"/>
      <c r="K21" s="107"/>
      <c r="L21" s="107"/>
      <c r="M21" s="107"/>
      <c r="N21" s="107"/>
      <c r="O21" s="107"/>
      <c r="P21" s="107"/>
      <c r="Q21" s="107"/>
      <c r="R21" s="107"/>
      <c r="S21" s="107"/>
      <c r="T21" s="107"/>
      <c r="U21" s="107"/>
      <c r="V21" s="107"/>
      <c r="W21" s="107"/>
      <c r="X21" s="107"/>
    </row>
    <row r="22" spans="2:24" ht="3" customHeight="1" x14ac:dyDescent="0.35">
      <c r="B22" s="108"/>
      <c r="C22" s="108"/>
      <c r="D22" s="108"/>
      <c r="E22" s="108"/>
      <c r="F22" s="108"/>
      <c r="G22" s="108"/>
      <c r="H22" s="108"/>
      <c r="I22" s="108"/>
      <c r="J22" s="108"/>
      <c r="K22" s="108"/>
      <c r="L22" s="108"/>
      <c r="M22" s="108"/>
      <c r="N22" s="108"/>
      <c r="O22" s="108"/>
      <c r="P22" s="108"/>
      <c r="Q22" s="108"/>
      <c r="R22" s="108"/>
      <c r="S22" s="108"/>
      <c r="T22" s="108"/>
      <c r="U22" s="108"/>
      <c r="V22" s="108"/>
      <c r="W22" s="108"/>
      <c r="X22" s="108"/>
    </row>
    <row r="23" spans="2:24" ht="6.95" customHeight="1" x14ac:dyDescent="0.25"/>
    <row r="24" spans="2:24" x14ac:dyDescent="0.25">
      <c r="B24" s="50" t="s">
        <v>288</v>
      </c>
    </row>
    <row r="25" spans="2:24" ht="6.95" customHeight="1" x14ac:dyDescent="0.25"/>
    <row r="26" spans="2:24" ht="15" customHeight="1" x14ac:dyDescent="0.25">
      <c r="B26" s="170" t="s">
        <v>289</v>
      </c>
      <c r="C26" s="170"/>
      <c r="D26" s="170"/>
      <c r="E26" s="170"/>
      <c r="F26" s="170"/>
      <c r="G26" s="170"/>
      <c r="H26" s="170"/>
      <c r="I26" s="170"/>
      <c r="J26" s="170"/>
      <c r="K26" s="170"/>
      <c r="L26" s="170"/>
      <c r="M26" s="170"/>
      <c r="N26" s="170"/>
      <c r="O26" s="170"/>
      <c r="P26" s="170"/>
      <c r="Q26" s="170"/>
      <c r="R26" s="170"/>
      <c r="S26" s="170"/>
      <c r="T26" s="170"/>
      <c r="U26" s="170"/>
      <c r="V26" s="170"/>
      <c r="W26" s="170"/>
      <c r="X26" s="170"/>
    </row>
    <row r="27" spans="2:24" ht="6.95" customHeight="1" x14ac:dyDescent="0.25"/>
    <row r="28" spans="2:24" ht="30" customHeight="1" x14ac:dyDescent="0.25">
      <c r="B28" s="170" t="s">
        <v>290</v>
      </c>
      <c r="C28" s="170"/>
      <c r="D28" s="170"/>
      <c r="E28" s="170"/>
      <c r="F28" s="170"/>
      <c r="G28" s="170"/>
      <c r="H28" s="170"/>
      <c r="I28" s="170"/>
      <c r="J28" s="170"/>
      <c r="K28" s="170"/>
      <c r="L28" s="170"/>
      <c r="M28" s="170"/>
      <c r="N28" s="170"/>
      <c r="O28" s="170"/>
      <c r="P28" s="170"/>
      <c r="Q28" s="170"/>
      <c r="R28" s="170"/>
      <c r="S28" s="170"/>
      <c r="T28" s="170"/>
      <c r="U28" s="170"/>
      <c r="V28" s="170"/>
      <c r="W28" s="170"/>
      <c r="X28" s="170"/>
    </row>
    <row r="29" spans="2:24" ht="6.95" customHeight="1" x14ac:dyDescent="0.25"/>
    <row r="30" spans="2:24" x14ac:dyDescent="0.25">
      <c r="B30" s="4" t="s">
        <v>283</v>
      </c>
    </row>
    <row r="31" spans="2:24" x14ac:dyDescent="0.25">
      <c r="B31" s="2" t="s">
        <v>292</v>
      </c>
    </row>
    <row r="32" spans="2:24" x14ac:dyDescent="0.25">
      <c r="B32" s="2" t="s">
        <v>293</v>
      </c>
    </row>
    <row r="33" spans="2:24" x14ac:dyDescent="0.25">
      <c r="B33" s="2" t="s">
        <v>291</v>
      </c>
    </row>
    <row r="37" spans="2:24" ht="21" x14ac:dyDescent="0.35">
      <c r="B37" s="107" t="s">
        <v>280</v>
      </c>
      <c r="C37" s="107"/>
      <c r="D37" s="107"/>
      <c r="E37" s="107"/>
      <c r="F37" s="107"/>
      <c r="G37" s="107"/>
      <c r="H37" s="107"/>
      <c r="I37" s="107"/>
      <c r="J37" s="107"/>
      <c r="K37" s="107"/>
      <c r="L37" s="107"/>
      <c r="M37" s="107"/>
      <c r="N37" s="107"/>
      <c r="O37" s="107"/>
      <c r="P37" s="107"/>
      <c r="Q37" s="107"/>
      <c r="R37" s="107"/>
      <c r="S37" s="107"/>
      <c r="T37" s="107"/>
      <c r="U37" s="107"/>
      <c r="V37" s="107"/>
      <c r="W37" s="107"/>
      <c r="X37" s="107"/>
    </row>
    <row r="38" spans="2:24" ht="3" customHeight="1" x14ac:dyDescent="0.35">
      <c r="B38" s="108"/>
      <c r="C38" s="108"/>
      <c r="D38" s="108"/>
      <c r="E38" s="108"/>
      <c r="F38" s="108"/>
      <c r="G38" s="108"/>
      <c r="H38" s="108"/>
      <c r="I38" s="108"/>
      <c r="J38" s="108"/>
      <c r="K38" s="108"/>
      <c r="L38" s="108"/>
      <c r="M38" s="108"/>
      <c r="N38" s="108"/>
      <c r="O38" s="108"/>
      <c r="P38" s="108"/>
      <c r="Q38" s="108"/>
      <c r="R38" s="108"/>
      <c r="S38" s="108"/>
      <c r="T38" s="108"/>
      <c r="U38" s="108"/>
      <c r="V38" s="108"/>
      <c r="W38" s="108"/>
      <c r="X38" s="108"/>
    </row>
    <row r="39" spans="2:24" ht="6.95" customHeight="1" x14ac:dyDescent="0.25"/>
    <row r="40" spans="2:24" x14ac:dyDescent="0.25">
      <c r="B40" s="4" t="s">
        <v>281</v>
      </c>
    </row>
    <row r="41" spans="2:24" ht="6.95" customHeight="1" x14ac:dyDescent="0.25"/>
  </sheetData>
  <sheetProtection algorithmName="SHA-512" hashValue="F+vvWpqd4AZsDxtiIjnG8/0u0VeNgFudeFzqyumsnEtoo/pT9+MxAYcBNA1d67M55QvQ1RQB4rtDA1EhBtwmlA==" saltValue="uDmKp/arQLU/ev3h0J2zuQ==" spinCount="100000" sheet="1" objects="1" scenarios="1"/>
  <mergeCells count="8">
    <mergeCell ref="B10:X10"/>
    <mergeCell ref="B11:X11"/>
    <mergeCell ref="B37:X37"/>
    <mergeCell ref="B38:X38"/>
    <mergeCell ref="B21:X21"/>
    <mergeCell ref="B22:X22"/>
    <mergeCell ref="B26:X26"/>
    <mergeCell ref="B28:X28"/>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14500-E61F-435B-BA7A-858AD64AACEF}">
  <sheetPr codeName="shtTODO">
    <tabColor rgb="FFFF0000"/>
  </sheetPr>
  <dimension ref="A1:A5"/>
  <sheetViews>
    <sheetView workbookViewId="0"/>
  </sheetViews>
  <sheetFormatPr defaultRowHeight="15" x14ac:dyDescent="0.25"/>
  <sheetData>
    <row r="1" spans="1:1" x14ac:dyDescent="0.25">
      <c r="A1" s="1" t="s">
        <v>2</v>
      </c>
    </row>
    <row r="2" spans="1:1" x14ac:dyDescent="0.25">
      <c r="A2" s="19" t="s">
        <v>22</v>
      </c>
    </row>
    <row r="3" spans="1:1" x14ac:dyDescent="0.25">
      <c r="A3" t="s">
        <v>313</v>
      </c>
    </row>
    <row r="4" spans="1:1" x14ac:dyDescent="0.25">
      <c r="A4" t="s">
        <v>294</v>
      </c>
    </row>
    <row r="5" spans="1:1" x14ac:dyDescent="0.25">
      <c r="A5" t="s">
        <v>314</v>
      </c>
    </row>
  </sheetData>
  <hyperlinks>
    <hyperlink ref="A2" r:id="rId1" xr:uid="{74E0D2BB-93A7-4F45-A19A-0977D19E6A4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b7c3fc1-ccd5-477b-94a4-7b6dc96a8d59">
      <Terms xmlns="http://schemas.microsoft.com/office/infopath/2007/PartnerControls"/>
    </lcf76f155ced4ddcb4097134ff3c332f>
    <TaxCatchAll xmlns="9e706368-9a73-4dcc-9221-b8fc62424fbc" xsi:nil="true"/>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A117C33DDE971642A3AD62E1BE8FB4A8" ma:contentTypeVersion="20" ma:contentTypeDescription="Create a new document." ma:contentTypeScope="" ma:versionID="5928bbac5bc44ebe19ea3ffcd17348f3">
  <xsd:schema xmlns:xsd="http://www.w3.org/2001/XMLSchema" xmlns:xs="http://www.w3.org/2001/XMLSchema" xmlns:p="http://schemas.microsoft.com/office/2006/metadata/properties" xmlns:ns2="eb7c3fc1-ccd5-477b-94a4-7b6dc96a8d59" xmlns:ns3="9e706368-9a73-4dcc-9221-b8fc62424fbc" targetNamespace="http://schemas.microsoft.com/office/2006/metadata/properties" ma:root="true" ma:fieldsID="c0f15c3e4474a85b8d4f1ceb77f1547c" ns2:_="" ns3:_="">
    <xsd:import namespace="eb7c3fc1-ccd5-477b-94a4-7b6dc96a8d59"/>
    <xsd:import namespace="9e706368-9a73-4dcc-9221-b8fc62424fb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7c3fc1-ccd5-477b-94a4-7b6dc96a8d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5f1f1f9-0179-4c93-b971-8e9741e0450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e706368-9a73-4dcc-9221-b8fc62424fb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80d56f4e-fc78-4139-b8cb-10eb5f78ae8a}" ma:internalName="TaxCatchAll" ma:showField="CatchAllData" ma:web="9e706368-9a73-4dcc-9221-b8fc62424fb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2A622EF-E8F8-4887-BD6B-37CBE66D0C2D}">
  <ds:schemaRefs>
    <ds:schemaRef ds:uri="http://schemas.microsoft.com/sharepoint/v3/contenttype/forms"/>
  </ds:schemaRefs>
</ds:datastoreItem>
</file>

<file path=customXml/itemProps2.xml><?xml version="1.0" encoding="utf-8"?>
<ds:datastoreItem xmlns:ds="http://schemas.openxmlformats.org/officeDocument/2006/customXml" ds:itemID="{56629842-210B-4EE5-8A08-5F4C3ACE6FA3}">
  <ds:schemaRefs>
    <ds:schemaRef ds:uri="http://purl.org/dc/terms/"/>
    <ds:schemaRef ds:uri="http://schemas.microsoft.com/office/infopath/2007/PartnerControls"/>
    <ds:schemaRef ds:uri="http://schemas.microsoft.com/office/2006/documentManagement/types"/>
    <ds:schemaRef ds:uri="http://schemas.microsoft.com/office/2006/metadata/properties"/>
    <ds:schemaRef ds:uri="http://purl.org/dc/elements/1.1/"/>
    <ds:schemaRef ds:uri="eb7c3fc1-ccd5-477b-94a4-7b6dc96a8d59"/>
    <ds:schemaRef ds:uri="9e706368-9a73-4dcc-9221-b8fc62424fbc"/>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76A363E5-BEF5-4DDF-8A93-50EDAEA9108D}">
  <ds:schemaRefs>
    <ds:schemaRef ds:uri="http://schemas.microsoft.com/DataMashup"/>
  </ds:schemaRefs>
</ds:datastoreItem>
</file>

<file path=customXml/itemProps4.xml><?xml version="1.0" encoding="utf-8"?>
<ds:datastoreItem xmlns:ds="http://schemas.openxmlformats.org/officeDocument/2006/customXml" ds:itemID="{99679531-0EF6-454A-854D-993ED407636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Intro</vt:lpstr>
      <vt:lpstr>Part 1</vt:lpstr>
      <vt:lpstr>Part 2</vt:lpstr>
      <vt:lpstr>Part 3</vt:lpstr>
      <vt:lpstr>Part 4</vt:lpstr>
      <vt:lpstr>Part 5</vt:lpstr>
      <vt:lpstr>Part 6</vt:lpstr>
      <vt:lpstr>Part 7</vt:lpstr>
      <vt:lpstr>Part 8</vt:lpstr>
      <vt:lpstr>Part 9</vt:lpstr>
      <vt:lpstr>Challenge 1</vt:lpstr>
      <vt:lpstr>Help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Alvin</dc:creator>
  <cp:lastModifiedBy>Percival, Malcolm</cp:lastModifiedBy>
  <dcterms:created xsi:type="dcterms:W3CDTF">2022-01-12T09:44:27Z</dcterms:created>
  <dcterms:modified xsi:type="dcterms:W3CDTF">2025-11-17T09:37:31Z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0x010100A117C33DDE971642A3AD62E1BE8FB4A8</vt:lpwstr>
  </property>
  <property fmtid="{D5CDD505-2E9C-101B-9397-08002B2CF9AE}" pid="3" name="MediaServiceImageTags">
    <vt:lpwstr/>
  </property>
</Properties>
</file>